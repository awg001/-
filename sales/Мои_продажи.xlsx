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Шаблон заказа" sheetId="2" state="visible" r:id="rId4"/>
    <sheet name="Товары" sheetId="3" state="visible" r:id="rId5"/>
    <sheet name="Заказы" sheetId="4" state="visible" r:id="rId6"/>
    <sheet name="Как пользоваться" sheetId="5" state="visible" r:id="rId7"/>
  </sheets>
  <definedNames>
    <definedName function="false" hidden="true" localSheetId="3" name="_xlnm._FilterDatabase" vbProcedure="false">Заказы!$A$3:$S$1003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<sst xmlns="http://schemas.openxmlformats.org/spreadsheetml/2006/main" count="182" uniqueCount="169">
  <si>
    <t xml:space="preserve">МОИ ПРОДАЖИ — СВОДКА</t>
  </si>
  <si>
    <t xml:space="preserve">Всё считается само из листа «Заказы». Заполнять здесь нужно только жёлтые ячейки.</t>
  </si>
  <si>
    <t xml:space="preserve">ПРОДАЖИ (выполненные заказы)</t>
  </si>
  <si>
    <t xml:space="preserve">ПО МЕСЯЦАМ</t>
  </si>
  <si>
    <t xml:space="preserve">Выручка</t>
  </si>
  <si>
    <t xml:space="preserve">Год (впишите)</t>
  </si>
  <si>
    <t xml:space="preserve">Чистая прибыль</t>
  </si>
  <si>
    <t xml:space="preserve">Месяц</t>
  </si>
  <si>
    <t xml:space="preserve">Заказов</t>
  </si>
  <si>
    <t xml:space="preserve">Маржа</t>
  </si>
  <si>
    <t xml:space="preserve">Январь</t>
  </si>
  <si>
    <t xml:space="preserve">Заказов выполнено</t>
  </si>
  <si>
    <t xml:space="preserve">Февраль</t>
  </si>
  <si>
    <t xml:space="preserve">Продано штук</t>
  </si>
  <si>
    <t xml:space="preserve">Март</t>
  </si>
  <si>
    <t xml:space="preserve">Средний чек</t>
  </si>
  <si>
    <t xml:space="preserve">Апрель</t>
  </si>
  <si>
    <t xml:space="preserve">Скидок дано</t>
  </si>
  <si>
    <t xml:space="preserve">Май</t>
  </si>
  <si>
    <t xml:space="preserve">Доставка (оплачена клиентами)</t>
  </si>
  <si>
    <t xml:space="preserve">Июнь</t>
  </si>
  <si>
    <t xml:space="preserve">ОЖИДАЮТ (ещё не закрыты)</t>
  </si>
  <si>
    <t xml:space="preserve">Июль</t>
  </si>
  <si>
    <t xml:space="preserve">Ожидает отправки — заказов</t>
  </si>
  <si>
    <t xml:space="preserve">Август</t>
  </si>
  <si>
    <t xml:space="preserve">Ожидает отправки — к получению</t>
  </si>
  <si>
    <t xml:space="preserve">Сентябрь</t>
  </si>
  <si>
    <t xml:space="preserve">Отправлен (в пути) — заказов</t>
  </si>
  <si>
    <t xml:space="preserve">Октябрь</t>
  </si>
  <si>
    <t xml:space="preserve">Отправлен (в пути) — к получению</t>
  </si>
  <si>
    <t xml:space="preserve">Ноябрь</t>
  </si>
  <si>
    <t xml:space="preserve">Ожидает самовывоза — заказов</t>
  </si>
  <si>
    <t xml:space="preserve">Декабрь</t>
  </si>
  <si>
    <t xml:space="preserve">Ожидает самовывоза — к получению</t>
  </si>
  <si>
    <t xml:space="preserve">Итого</t>
  </si>
  <si>
    <t xml:space="preserve">ВСЕГО в ожидании</t>
  </si>
  <si>
    <t xml:space="preserve">Ожидаемая прибыль с них</t>
  </si>
  <si>
    <t xml:space="preserve">СПОСОБ ПОЛУЧЕНИЯ (выполнено)</t>
  </si>
  <si>
    <t xml:space="preserve">Не оплачено (по активным заказам)</t>
  </si>
  <si>
    <t xml:space="preserve">Самовывоз</t>
  </si>
  <si>
    <t xml:space="preserve">Отменено заказов</t>
  </si>
  <si>
    <t xml:space="preserve">СДЭК</t>
  </si>
  <si>
    <t xml:space="preserve">Маршрутка</t>
  </si>
  <si>
    <t xml:space="preserve">ПЛАН НА МЕСЯЦ</t>
  </si>
  <si>
    <t xml:space="preserve">Курьер</t>
  </si>
  <si>
    <t xml:space="preserve">План продаж на месяц (впишите)</t>
  </si>
  <si>
    <t xml:space="preserve">Почта</t>
  </si>
  <si>
    <t xml:space="preserve">Факт за текущий месяц</t>
  </si>
  <si>
    <t xml:space="preserve">Выполнение плана</t>
  </si>
  <si>
    <t xml:space="preserve">Осталось до плана</t>
  </si>
  <si>
    <t xml:space="preserve">СКЛАД</t>
  </si>
  <si>
    <t xml:space="preserve">Позиций закончилось (остаток ≤ 0)</t>
  </si>
  <si>
    <t xml:space="preserve">Позиций на исходе (остаток = 1)</t>
  </si>
  <si>
    <t xml:space="preserve">Свободный остаток по закупке</t>
  </si>
  <si>
    <t xml:space="preserve">ШАБЛОН ЗАКАЗА — скопируйте, заполните, отправьте Claude</t>
  </si>
  <si>
    <t xml:space="preserve">Пустые строки можно не заполнять. Несколько товаров — через запятую.</t>
  </si>
  <si>
    <t xml:space="preserve">Заказ:</t>
  </si>
  <si>
    <t xml:space="preserve">(дата, если не сегодня)</t>
  </si>
  <si>
    <t xml:space="preserve">Клиент:</t>
  </si>
  <si>
    <t xml:space="preserve">Телефон:</t>
  </si>
  <si>
    <t xml:space="preserve">Товары:</t>
  </si>
  <si>
    <t xml:space="preserve">Натурал коллаген 2, Цинк 1</t>
  </si>
  <si>
    <t xml:space="preserve">Скидка:</t>
  </si>
  <si>
    <t xml:space="preserve">0</t>
  </si>
  <si>
    <t xml:space="preserve">Получение:</t>
  </si>
  <si>
    <t xml:space="preserve">Самовывоз / СДЭК / Маршрутка / Курьер / Почта</t>
  </si>
  <si>
    <t xml:space="preserve">Доставка ₽:</t>
  </si>
  <si>
    <t xml:space="preserve">Адрес / куда:</t>
  </si>
  <si>
    <t xml:space="preserve">город, ПВЗ, номер маршрутки</t>
  </si>
  <si>
    <t xml:space="preserve">Оплата:</t>
  </si>
  <si>
    <t xml:space="preserve">Оплачен / Предоплата / Не оплачен</t>
  </si>
  <si>
    <t xml:space="preserve">Статус:</t>
  </si>
  <si>
    <t xml:space="preserve">Ожидает отправки / Ожидает самовывоза / Выполнен</t>
  </si>
  <si>
    <t xml:space="preserve">Комментарий:</t>
  </si>
  <si>
    <t xml:space="preserve">Чтобы обновить уже внесённый заказ, напишите коротко:</t>
  </si>
  <si>
    <t xml:space="preserve">«Ахмед забрал» · «Аминат отправили, трек 1234567» · «Ислам отменил»</t>
  </si>
  <si>
    <t xml:space="preserve">ТОВАРЫ И ОСТАТКИ</t>
  </si>
  <si>
    <t xml:space="preserve">Цены и приход — из «Касса BIO lAYT». «Продано ранее» — продажи из кассы до начала учёта в этой таблице. Новый товар — допишите строку внизу.</t>
  </si>
  <si>
    <t xml:space="preserve">№</t>
  </si>
  <si>
    <t xml:space="preserve">Товар</t>
  </si>
  <si>
    <t xml:space="preserve">Опт-цена</t>
  </si>
  <si>
    <t xml:space="preserve">Цена продажи</t>
  </si>
  <si>
    <t xml:space="preserve">Приход, шт</t>
  </si>
  <si>
    <t xml:space="preserve">Продано ранее, шт</t>
  </si>
  <si>
    <t xml:space="preserve">Продано (выполнено), шт</t>
  </si>
  <si>
    <t xml:space="preserve">В ожидании, шт</t>
  </si>
  <si>
    <t xml:space="preserve">Остаток свободный, шт</t>
  </si>
  <si>
    <t xml:space="preserve">Выручка (выполнено)</t>
  </si>
  <si>
    <t xml:space="preserve">Прибыль (выполнено)</t>
  </si>
  <si>
    <t xml:space="preserve">Ожидается выручки</t>
  </si>
  <si>
    <t xml:space="preserve">Маржа, %</t>
  </si>
  <si>
    <t xml:space="preserve">Комментарий</t>
  </si>
  <si>
    <t xml:space="preserve">Натурал коллаген</t>
  </si>
  <si>
    <t xml:space="preserve">Морской коллаген</t>
  </si>
  <si>
    <t xml:space="preserve">Магний +В6</t>
  </si>
  <si>
    <t xml:space="preserve">Цеолит</t>
  </si>
  <si>
    <t xml:space="preserve">Коэнзим Q10</t>
  </si>
  <si>
    <t xml:space="preserve">Компл.вит. М</t>
  </si>
  <si>
    <t xml:space="preserve">МSМ</t>
  </si>
  <si>
    <t xml:space="preserve">L-Карнитин</t>
  </si>
  <si>
    <t xml:space="preserve">L-Аргинин</t>
  </si>
  <si>
    <t xml:space="preserve">Цинк</t>
  </si>
  <si>
    <t xml:space="preserve">Бца</t>
  </si>
  <si>
    <t xml:space="preserve">Креатин 600гр</t>
  </si>
  <si>
    <t xml:space="preserve">Креатин 300гр</t>
  </si>
  <si>
    <t xml:space="preserve">Пау дарко</t>
  </si>
  <si>
    <t xml:space="preserve">L-лизин</t>
  </si>
  <si>
    <t xml:space="preserve">SI комплекс</t>
  </si>
  <si>
    <t xml:space="preserve">Инозитол</t>
  </si>
  <si>
    <t xml:space="preserve">Гиолурованя к-с</t>
  </si>
  <si>
    <t xml:space="preserve">Компл.вит. Ж</t>
  </si>
  <si>
    <t xml:space="preserve">Reta 20mg</t>
  </si>
  <si>
    <t xml:space="preserve">Reta 60mg</t>
  </si>
  <si>
    <t xml:space="preserve">Reta 80mg</t>
  </si>
  <si>
    <t xml:space="preserve">Gen.Ручки Tirz</t>
  </si>
  <si>
    <t xml:space="preserve">Gen.Ручки Reta</t>
  </si>
  <si>
    <t xml:space="preserve">Gen.Ручки mots</t>
  </si>
  <si>
    <t xml:space="preserve">Aicar</t>
  </si>
  <si>
    <t xml:space="preserve">ИТОГО</t>
  </si>
  <si>
    <t xml:space="preserve">ЗАКАЗЫ — один общий список</t>
  </si>
  <si>
    <t xml:space="preserve">Жёлтые колонки заполняете вы, серые считаются сами. Фильтр по «Статусу» — стрелка в заголовке.</t>
  </si>
  <si>
    <t xml:space="preserve">Дата заказа</t>
  </si>
  <si>
    <t xml:space="preserve">Клиент</t>
  </si>
  <si>
    <t xml:space="preserve">Телефон</t>
  </si>
  <si>
    <t xml:space="preserve">Кол-во</t>
  </si>
  <si>
    <t xml:space="preserve">Цена (прайс)</t>
  </si>
  <si>
    <t xml:space="preserve">Скидка, ₽</t>
  </si>
  <si>
    <t xml:space="preserve">Сумма за товар</t>
  </si>
  <si>
    <t xml:space="preserve">Доставка, ₽</t>
  </si>
  <si>
    <t xml:space="preserve">ИТОГО с доставкой</t>
  </si>
  <si>
    <t xml:space="preserve">Себестоимость</t>
  </si>
  <si>
    <t xml:space="preserve">Прибыль</t>
  </si>
  <si>
    <t xml:space="preserve">Получение</t>
  </si>
  <si>
    <t xml:space="preserve">Статус</t>
  </si>
  <si>
    <t xml:space="preserve">Оплата</t>
  </si>
  <si>
    <t xml:space="preserve">Адрес / трек-номер</t>
  </si>
  <si>
    <t xml:space="preserve">Дата выдачи</t>
  </si>
  <si>
    <t xml:space="preserve">Пример: Магомед</t>
  </si>
  <si>
    <t xml:space="preserve">+7 900 000-00-01</t>
  </si>
  <si>
    <t xml:space="preserve">Выполнен</t>
  </si>
  <si>
    <t xml:space="preserve">Оплачен</t>
  </si>
  <si>
    <t xml:space="preserve">ПРИМЕР — удалите строку</t>
  </si>
  <si>
    <t xml:space="preserve">Пример: Аминат</t>
  </si>
  <si>
    <t xml:space="preserve">+7 900 000-00-02</t>
  </si>
  <si>
    <t xml:space="preserve">Ожидает отправки</t>
  </si>
  <si>
    <t xml:space="preserve">Предоплата</t>
  </si>
  <si>
    <t xml:space="preserve">СДЭК, Махачкала, ПВЗ ул. ...</t>
  </si>
  <si>
    <t xml:space="preserve">Пример: Ислам</t>
  </si>
  <si>
    <t xml:space="preserve">+7 900 000-00-03</t>
  </si>
  <si>
    <t xml:space="preserve">Ожидает самовывоза</t>
  </si>
  <si>
    <t xml:space="preserve">Не оплачен</t>
  </si>
  <si>
    <t xml:space="preserve">КАК ПОЛЬЗОВАТЬСЯ</t>
  </si>
  <si>
    <t xml:space="preserve">1. Новый заказ → лист «Заказы», первая пустая строка. Заполните жёлтые колонки: дата, клиент, телефон, товар (из списка), кол-во, скидка, доставка ₽, способ получения, статус, оплата.</t>
  </si>
  <si>
    <t xml:space="preserve">   Цена, сумма за товар, ИТОГО с доставкой, себестоимость и прибыль посчитаются сами. Доставка в прибыль не входит — её платит клиент, она только добавляется к итогу.</t>
  </si>
  <si>
    <t xml:space="preserve">   Способы получения: Самовывоз, СДЭК, Маршрутка, Курьер, Почта. Несколько товаров в одном заказе — доставку пишите только в первой строке заказа.</t>
  </si>
  <si>
    <t xml:space="preserve">2. Статусы (меняйте по ходу дела — строка перекрашивается):</t>
  </si>
  <si>
    <t xml:space="preserve">   • Ожидает отправки — заказ принят, ещё не отправлен (жёлтый)</t>
  </si>
  <si>
    <t xml:space="preserve">   • Отправлен (в пути) — отправили, клиент ещё не получил (голубой)</t>
  </si>
  <si>
    <t xml:space="preserve">   • Ожидает самовывоза — клиент ещё не забрал (оранжевый)</t>
  </si>
  <si>
    <t xml:space="preserve">   • Выполнен — клиент получил товар, деньги у вас (зелёный). Только эти заказы идут в выручку и прибыль.</t>
  </si>
  <si>
    <t xml:space="preserve">   • Отменён — не считается нигде, товар возвращается в остаток (серый, зачёркнут)</t>
  </si>
  <si>
    <t xml:space="preserve">3. Чтобы увидеть только ожидающих — стрелка фильтра в заголовке «Статус» на листе «Заказы».</t>
  </si>
  <si>
    <t xml:space="preserve">4. Если клиент берёт несколько разных товаров — каждый товар отдельной строкой, клиента и дату повторить.</t>
  </si>
  <si>
    <t xml:space="preserve">5. Скидка пишется в рублях на всю строку (на всё количество). Товар в подарок — скидка = вся сумма.</t>
  </si>
  <si>
    <t xml:space="preserve">6. Новый товар или новая цена → лист «Товары» (жёлтые колонки). Остаток там считается: приход − продано ранее − продано − в ожидании.</t>
  </si>
  <si>
    <t xml:space="preserve">   Красный остаток — товар кончился, жёлтый — осталась 1 шт.</t>
  </si>
  <si>
    <t xml:space="preserve">7. Лист «Сводка» — выручка, прибыль, ожидающие заказы и их сумма, план на месяц, продажи по месяцам. Впишите свой план в жёлтую ячейку.</t>
  </si>
  <si>
    <t xml:space="preserve">Первые 3 строки в «Заказах» — ПРИМЕРЫ. Удалите их содержимое (выделить жёлтые ячейки → Delete), когда начнёте работать.</t>
  </si>
  <si>
    <t xml:space="preserve">«Продано ранее» на листе «Товары» взято из колонки КОЛ-ПРОД вашей кассы — чтобы остатки сразу были правильные. Если не нужно — очистите колонку.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</si>
</sst>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₽&quot;;\-#,##0&quot; ₽&quot;;\–"/>
    <numFmt numFmtId="166" formatCode="0.0%"/>
    <numFmt numFmtId="167" formatCode="#,##0;\-#,##0;\–"/>
    <numFmt numFmtId="168" formatCode="0%"/>
    <numFmt numFmtId="169" formatCode="General"/>
    <numFmt numFmtId="170" formatCode="dd\.mm\.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color rgb="FF7F7F7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6EFCE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9999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strike val="1"/>
        <color rgb="FF7F7F7F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D9D9D9"/>
      <rgbColor rgb="FFFF9999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" t="s">
        <v>2</v>
      </c>
      <c r="C4" s="5"/>
      <c r="D4" s="1"/>
      <c r="E4" s="4" t="s">
        <v>3</v>
      </c>
      <c r="F4" s="4"/>
      <c r="G4" s="4"/>
    </row>
    <row r="5" customFormat="false" ht="15" hidden="false" customHeight="false" outlineLevel="0" collapsed="false">
      <c r="A5" s="1"/>
      <c r="B5" s="6" t="s">
        <v>4</v>
      </c>
      <c r="C5" s="7" t="n">
        <f aca="false">SUMIFS(Заказы!$I$4:$I$1003,Заказы!$O$4:$O$1003,"Выполнен")</f>
        <v>9500</v>
      </c>
      <c r="D5" s="1"/>
      <c r="E5" s="8" t="s">
        <v>5</v>
      </c>
      <c r="F5" s="9" t="n">
        <v>2026</v>
      </c>
      <c r="G5" s="1"/>
    </row>
    <row r="6" customFormat="false" ht="15" hidden="false" customHeight="false" outlineLevel="0" collapsed="false">
      <c r="A6" s="1"/>
      <c r="B6" s="6" t="s">
        <v>6</v>
      </c>
      <c r="C6" s="7" t="n">
        <f aca="false">SUMIFS(Заказы!$M$4:$M$1003,Заказы!$O$4:$O$1003,"Выполнен")</f>
        <v>2500</v>
      </c>
      <c r="D6" s="1"/>
      <c r="E6" s="10" t="s">
        <v>7</v>
      </c>
      <c r="F6" s="10" t="s">
        <v>8</v>
      </c>
      <c r="G6" s="10" t="s">
        <v>4</v>
      </c>
    </row>
    <row r="7" customFormat="false" ht="15" hidden="false" customHeight="false" outlineLevel="0" collapsed="false">
      <c r="A7" s="1"/>
      <c r="B7" s="11" t="s">
        <v>9</v>
      </c>
      <c r="C7" s="12" t="n">
        <f aca="false">IF(C5=0,0,C6/C5)</f>
        <v>0.263157894736842</v>
      </c>
      <c r="D7" s="1"/>
      <c r="E7" s="8" t="s">
        <v>10</v>
      </c>
      <c r="F7" s="13" t="n">
        <f aca="false">COUNTIFS(Заказы!$O$4:$O$1003,"Выполнен",Заказы!$B$4:$B$1003,"&gt;="&amp;DATE($F$5,1,1),Заказы!$B$4:$B$1003,"&lt;"&amp;EDATE(DATE($F$5,1,1),1))</f>
        <v>0</v>
      </c>
      <c r="G7" s="14" t="n">
        <f aca="false">SUMIFS(Заказы!$I$4:$I$1003,Заказы!$O$4:$O$1003,"Выполнен",Заказы!$B$4:$B$1003,"&gt;="&amp;DATE($F$5,1,1),Заказы!$B$4:$B$1003,"&lt;"&amp;EDATE(DATE($F$5,1,1),1))</f>
        <v>0</v>
      </c>
    </row>
    <row r="8" customFormat="false" ht="15" hidden="false" customHeight="false" outlineLevel="0" collapsed="false">
      <c r="A8" s="1"/>
      <c r="B8" s="11" t="s">
        <v>11</v>
      </c>
      <c r="C8" s="15" t="n">
        <f aca="false">COUNTIFS(Заказы!$O$4:$O$1003,"Выполнен")</f>
        <v>1</v>
      </c>
      <c r="D8" s="1"/>
      <c r="E8" s="8" t="s">
        <v>12</v>
      </c>
      <c r="F8" s="13" t="n">
        <f aca="false">COUNTIFS(Заказы!$O$4:$O$1003,"Выполнен",Заказы!$B$4:$B$1003,"&gt;="&amp;DATE($F$5,2,1),Заказы!$B$4:$B$1003,"&lt;"&amp;EDATE(DATE($F$5,2,1),1))</f>
        <v>0</v>
      </c>
      <c r="G8" s="14" t="n">
        <f aca="false">SUMIFS(Заказы!$I$4:$I$1003,Заказы!$O$4:$O$1003,"Выполнен",Заказы!$B$4:$B$1003,"&gt;="&amp;DATE($F$5,2,1),Заказы!$B$4:$B$1003,"&lt;"&amp;EDATE(DATE($F$5,2,1),1))</f>
        <v>0</v>
      </c>
    </row>
    <row r="9" customFormat="false" ht="15" hidden="false" customHeight="false" outlineLevel="0" collapsed="false">
      <c r="A9" s="1"/>
      <c r="B9" s="11" t="s">
        <v>13</v>
      </c>
      <c r="C9" s="15" t="n">
        <f aca="false">SUMIFS(Заказы!$F$4:$F$1003,Заказы!$O$4:$O$1003,"Выполнен")</f>
        <v>2</v>
      </c>
      <c r="D9" s="1"/>
      <c r="E9" s="8" t="s">
        <v>14</v>
      </c>
      <c r="F9" s="13" t="n">
        <f aca="false">COUNTIFS(Заказы!$O$4:$O$1003,"Выполнен",Заказы!$B$4:$B$1003,"&gt;="&amp;DATE($F$5,3,1),Заказы!$B$4:$B$1003,"&lt;"&amp;EDATE(DATE($F$5,3,1),1))</f>
        <v>0</v>
      </c>
      <c r="G9" s="14" t="n">
        <f aca="false">SUMIFS(Заказы!$I$4:$I$1003,Заказы!$O$4:$O$1003,"Выполнен",Заказы!$B$4:$B$1003,"&gt;="&amp;DATE($F$5,3,1),Заказы!$B$4:$B$1003,"&lt;"&amp;EDATE(DATE($F$5,3,1),1))</f>
        <v>0</v>
      </c>
    </row>
    <row r="10" customFormat="false" ht="15" hidden="false" customHeight="false" outlineLevel="0" collapsed="false">
      <c r="A10" s="1"/>
      <c r="B10" s="11" t="s">
        <v>15</v>
      </c>
      <c r="C10" s="16" t="n">
        <f aca="false">IF(C8=0,0,C5/C8)</f>
        <v>9500</v>
      </c>
      <c r="D10" s="1"/>
      <c r="E10" s="8" t="s">
        <v>16</v>
      </c>
      <c r="F10" s="13" t="n">
        <f aca="false">COUNTIFS(Заказы!$O$4:$O$1003,"Выполнен",Заказы!$B$4:$B$1003,"&gt;="&amp;DATE($F$5,4,1),Заказы!$B$4:$B$1003,"&lt;"&amp;EDATE(DATE($F$5,4,1),1))</f>
        <v>0</v>
      </c>
      <c r="G10" s="14" t="n">
        <f aca="false">SUMIFS(Заказы!$I$4:$I$1003,Заказы!$O$4:$O$1003,"Выполнен",Заказы!$B$4:$B$1003,"&gt;="&amp;DATE($F$5,4,1),Заказы!$B$4:$B$1003,"&lt;"&amp;EDATE(DATE($F$5,4,1),1))</f>
        <v>0</v>
      </c>
    </row>
    <row r="11" customFormat="false" ht="15" hidden="false" customHeight="false" outlineLevel="0" collapsed="false">
      <c r="A11" s="1"/>
      <c r="B11" s="11" t="s">
        <v>17</v>
      </c>
      <c r="C11" s="16" t="n">
        <f aca="false">SUMIFS(Заказы!$H$4:$H$1003,Заказы!$O$4:$O$1003,"Выполнен")</f>
        <v>500</v>
      </c>
      <c r="D11" s="1"/>
      <c r="E11" s="8" t="s">
        <v>18</v>
      </c>
      <c r="F11" s="13" t="n">
        <f aca="false">COUNTIFS(Заказы!$O$4:$O$1003,"Выполнен",Заказы!$B$4:$B$1003,"&gt;="&amp;DATE($F$5,5,1),Заказы!$B$4:$B$1003,"&lt;"&amp;EDATE(DATE($F$5,5,1),1))</f>
        <v>0</v>
      </c>
      <c r="G11" s="14" t="n">
        <f aca="false">SUMIFS(Заказы!$I$4:$I$1003,Заказы!$O$4:$O$1003,"Выполнен",Заказы!$B$4:$B$1003,"&gt;="&amp;DATE($F$5,5,1),Заказы!$B$4:$B$1003,"&lt;"&amp;EDATE(DATE($F$5,5,1),1))</f>
        <v>0</v>
      </c>
    </row>
    <row r="12" customFormat="false" ht="15" hidden="false" customHeight="false" outlineLevel="0" collapsed="false">
      <c r="A12" s="1"/>
      <c r="B12" s="11" t="s">
        <v>19</v>
      </c>
      <c r="C12" s="16" t="n">
        <f aca="false">SUMIFS(Заказы!$J$4:$J$1003,Заказы!$O$4:$O$1003,"Выполнен")</f>
        <v>0</v>
      </c>
      <c r="D12" s="1"/>
      <c r="E12" s="8" t="s">
        <v>20</v>
      </c>
      <c r="F12" s="13" t="n">
        <f aca="false">COUNTIFS(Заказы!$O$4:$O$1003,"Выполнен",Заказы!$B$4:$B$1003,"&gt;="&amp;DATE($F$5,6,1),Заказы!$B$4:$B$1003,"&lt;"&amp;EDATE(DATE($F$5,6,1),1))</f>
        <v>0</v>
      </c>
      <c r="G12" s="14" t="n">
        <f aca="false">SUMIFS(Заказы!$I$4:$I$1003,Заказы!$O$4:$O$1003,"Выполнен",Заказы!$B$4:$B$1003,"&gt;="&amp;DATE($F$5,6,1),Заказы!$B$4:$B$1003,"&lt;"&amp;EDATE(DATE($F$5,6,1),1))</f>
        <v>0</v>
      </c>
    </row>
    <row r="13" customFormat="false" ht="15" hidden="false" customHeight="false" outlineLevel="0" collapsed="false">
      <c r="A13" s="1"/>
      <c r="B13" s="4" t="s">
        <v>21</v>
      </c>
      <c r="C13" s="5"/>
      <c r="D13" s="1"/>
      <c r="E13" s="8" t="s">
        <v>22</v>
      </c>
      <c r="F13" s="13" t="n">
        <f aca="false">COUNTIFS(Заказы!$O$4:$O$1003,"Выполнен",Заказы!$B$4:$B$1003,"&gt;="&amp;DATE($F$5,7,1),Заказы!$B$4:$B$1003,"&lt;"&amp;EDATE(DATE($F$5,7,1),1))</f>
        <v>0</v>
      </c>
      <c r="G13" s="14" t="n">
        <f aca="false">SUMIFS(Заказы!$I$4:$I$1003,Заказы!$O$4:$O$1003,"Выполнен",Заказы!$B$4:$B$1003,"&gt;="&amp;DATE($F$5,7,1),Заказы!$B$4:$B$1003,"&lt;"&amp;EDATE(DATE($F$5,7,1),1))</f>
        <v>0</v>
      </c>
    </row>
    <row r="14" customFormat="false" ht="15" hidden="false" customHeight="false" outlineLevel="0" collapsed="false">
      <c r="A14" s="1"/>
      <c r="B14" s="11" t="s">
        <v>23</v>
      </c>
      <c r="C14" s="15" t="n">
        <f aca="false">COUNTIFS(Заказы!$O$4:$O$1003,"Ожидает отправки")</f>
        <v>1</v>
      </c>
      <c r="D14" s="1"/>
      <c r="E14" s="8" t="s">
        <v>24</v>
      </c>
      <c r="F14" s="13" t="n">
        <f aca="false">COUNTIFS(Заказы!$O$4:$O$1003,"Выполнен",Заказы!$B$4:$B$1003,"&gt;="&amp;DATE($F$5,8,1),Заказы!$B$4:$B$1003,"&lt;"&amp;EDATE(DATE($F$5,8,1),1))</f>
        <v>0</v>
      </c>
      <c r="G14" s="14" t="n">
        <f aca="false">SUMIFS(Заказы!$I$4:$I$1003,Заказы!$O$4:$O$1003,"Выполнен",Заказы!$B$4:$B$1003,"&gt;="&amp;DATE($F$5,8,1),Заказы!$B$4:$B$1003,"&lt;"&amp;EDATE(DATE($F$5,8,1),1))</f>
        <v>0</v>
      </c>
    </row>
    <row r="15" customFormat="false" ht="15" hidden="false" customHeight="false" outlineLevel="0" collapsed="false">
      <c r="A15" s="1"/>
      <c r="B15" s="11" t="s">
        <v>25</v>
      </c>
      <c r="C15" s="16" t="n">
        <f aca="false">SUMIFS(Заказы!$K$4:$K$1003,Заказы!$O$4:$O$1003,"Ожидает отправки")</f>
        <v>2100</v>
      </c>
      <c r="D15" s="1"/>
      <c r="E15" s="8" t="s">
        <v>26</v>
      </c>
      <c r="F15" s="13" t="n">
        <f aca="false">COUNTIFS(Заказы!$O$4:$O$1003,"Выполнен",Заказы!$B$4:$B$1003,"&gt;="&amp;DATE($F$5,9,1),Заказы!$B$4:$B$1003,"&lt;"&amp;EDATE(DATE($F$5,9,1),1))</f>
        <v>0</v>
      </c>
      <c r="G15" s="14" t="n">
        <f aca="false">SUMIFS(Заказы!$I$4:$I$1003,Заказы!$O$4:$O$1003,"Выполнен",Заказы!$B$4:$B$1003,"&gt;="&amp;DATE($F$5,9,1),Заказы!$B$4:$B$1003,"&lt;"&amp;EDATE(DATE($F$5,9,1),1))</f>
        <v>0</v>
      </c>
    </row>
    <row r="16" customFormat="false" ht="15" hidden="false" customHeight="false" outlineLevel="0" collapsed="false">
      <c r="A16" s="1"/>
      <c r="B16" s="11" t="s">
        <v>27</v>
      </c>
      <c r="C16" s="15" t="n">
        <f aca="false">COUNTIFS(Заказы!$O$4:$O$1003,"Отправлен (в пути)")</f>
        <v>0</v>
      </c>
      <c r="D16" s="1"/>
      <c r="E16" s="8" t="s">
        <v>28</v>
      </c>
      <c r="F16" s="13" t="n">
        <f aca="false">COUNTIFS(Заказы!$O$4:$O$1003,"Выполнен",Заказы!$B$4:$B$1003,"&gt;="&amp;DATE($F$5,10,1),Заказы!$B$4:$B$1003,"&lt;"&amp;EDATE(DATE($F$5,10,1),1))</f>
        <v>1</v>
      </c>
      <c r="G16" s="14" t="n">
        <f aca="false">SUMIFS(Заказы!$I$4:$I$1003,Заказы!$O$4:$O$1003,"Выполнен",Заказы!$B$4:$B$1003,"&gt;="&amp;DATE($F$5,10,1),Заказы!$B$4:$B$1003,"&lt;"&amp;EDATE(DATE($F$5,10,1),1))</f>
        <v>9500</v>
      </c>
    </row>
    <row r="17" customFormat="false" ht="15" hidden="false" customHeight="false" outlineLevel="0" collapsed="false">
      <c r="A17" s="1"/>
      <c r="B17" s="11" t="s">
        <v>29</v>
      </c>
      <c r="C17" s="16" t="n">
        <f aca="false">SUMIFS(Заказы!$K$4:$K$1003,Заказы!$O$4:$O$1003,"Отправлен (в пути)")</f>
        <v>0</v>
      </c>
      <c r="D17" s="1"/>
      <c r="E17" s="8" t="s">
        <v>30</v>
      </c>
      <c r="F17" s="13" t="n">
        <f aca="false">COUNTIFS(Заказы!$O$4:$O$1003,"Выполнен",Заказы!$B$4:$B$1003,"&gt;="&amp;DATE($F$5,11,1),Заказы!$B$4:$B$1003,"&lt;"&amp;EDATE(DATE($F$5,11,1),1))</f>
        <v>0</v>
      </c>
      <c r="G17" s="14" t="n">
        <f aca="false">SUMIFS(Заказы!$I$4:$I$1003,Заказы!$O$4:$O$1003,"Выполнен",Заказы!$B$4:$B$1003,"&gt;="&amp;DATE($F$5,11,1),Заказы!$B$4:$B$1003,"&lt;"&amp;EDATE(DATE($F$5,11,1),1))</f>
        <v>0</v>
      </c>
    </row>
    <row r="18" customFormat="false" ht="15" hidden="false" customHeight="false" outlineLevel="0" collapsed="false">
      <c r="A18" s="1"/>
      <c r="B18" s="11" t="s">
        <v>31</v>
      </c>
      <c r="C18" s="15" t="n">
        <f aca="false">COUNTIFS(Заказы!$O$4:$O$1003,"Ожидает самовывоза")</f>
        <v>1</v>
      </c>
      <c r="D18" s="1"/>
      <c r="E18" s="8" t="s">
        <v>32</v>
      </c>
      <c r="F18" s="13" t="n">
        <f aca="false">COUNTIFS(Заказы!$O$4:$O$1003,"Выполнен",Заказы!$B$4:$B$1003,"&gt;="&amp;DATE($F$5,12,1),Заказы!$B$4:$B$1003,"&lt;"&amp;EDATE(DATE($F$5,12,1),1))</f>
        <v>0</v>
      </c>
      <c r="G18" s="14" t="n">
        <f aca="false">SUMIFS(Заказы!$I$4:$I$1003,Заказы!$O$4:$O$1003,"Выполнен",Заказы!$B$4:$B$1003,"&gt;="&amp;DATE($F$5,12,1),Заказы!$B$4:$B$1003,"&lt;"&amp;EDATE(DATE($F$5,12,1),1))</f>
        <v>0</v>
      </c>
    </row>
    <row r="19" customFormat="false" ht="15" hidden="false" customHeight="false" outlineLevel="0" collapsed="false">
      <c r="A19" s="1"/>
      <c r="B19" s="11" t="s">
        <v>33</v>
      </c>
      <c r="C19" s="16" t="n">
        <f aca="false">SUMIFS(Заказы!$K$4:$K$1003,Заказы!$O$4:$O$1003,"Ожидает самовывоза")</f>
        <v>11800</v>
      </c>
      <c r="D19" s="1"/>
      <c r="E19" s="17" t="s">
        <v>34</v>
      </c>
      <c r="F19" s="18" t="n">
        <f aca="false">SUM(F7:F18)</f>
        <v>1</v>
      </c>
      <c r="G19" s="19" t="n">
        <f aca="false">SUM(G7:G18)</f>
        <v>9500</v>
      </c>
    </row>
    <row r="20" customFormat="false" ht="15" hidden="false" customHeight="false" outlineLevel="0" collapsed="false">
      <c r="A20" s="1"/>
      <c r="B20" s="6" t="s">
        <v>35</v>
      </c>
      <c r="C20" s="7" t="n">
        <f aca="false">C15+C17+C19</f>
        <v>13900</v>
      </c>
      <c r="D20" s="1"/>
      <c r="E20" s="1"/>
      <c r="F20" s="1"/>
      <c r="G20" s="1"/>
    </row>
    <row r="21" customFormat="false" ht="15" hidden="false" customHeight="false" outlineLevel="0" collapsed="false">
      <c r="A21" s="1"/>
      <c r="B21" s="11" t="s">
        <v>36</v>
      </c>
      <c r="C21" s="16" t="n">
        <f aca="false">SUMIFS(Заказы!$M$4:$M$1003,Заказы!$O$4:$O$1003,"Ожидает отправки")+SUMIFS(Заказы!$M$4:$M$1003,Заказы!$O$4:$O$1003,"Отправлен (в пути)")+SUMIFS(Заказы!$M$4:$M$1003,Заказы!$O$4:$O$1003,"Ожидает самовывоза")</f>
        <v>5200</v>
      </c>
      <c r="D21" s="1"/>
      <c r="E21" s="4" t="s">
        <v>37</v>
      </c>
      <c r="F21" s="4"/>
      <c r="G21" s="4"/>
    </row>
    <row r="22" customFormat="false" ht="15" hidden="false" customHeight="false" outlineLevel="0" collapsed="false">
      <c r="A22" s="1"/>
      <c r="B22" s="11" t="s">
        <v>38</v>
      </c>
      <c r="C22" s="16" t="n">
        <f aca="false">SUMIFS(Заказы!$K$4:$K$1003,Заказы!$P$4:$P$1003,"Не оплачен",Заказы!$O$4:$O$1003,"&lt;&gt;Отменён")</f>
        <v>11800</v>
      </c>
      <c r="D22" s="1"/>
      <c r="E22" s="8" t="s">
        <v>39</v>
      </c>
      <c r="F22" s="13" t="n">
        <f aca="false">COUNTIFS(Заказы!$O$4:$O$1003,"Выполнен",Заказы!$N$4:$N$1003,"Самовывоз")</f>
        <v>1</v>
      </c>
      <c r="G22" s="14" t="n">
        <f aca="false">SUMIFS(Заказы!$I$4:$I$1003,Заказы!$O$4:$O$1003,"Выполнен",Заказы!$N$4:$N$1003,"Самовывоз")</f>
        <v>9500</v>
      </c>
    </row>
    <row r="23" customFormat="false" ht="15" hidden="false" customHeight="false" outlineLevel="0" collapsed="false">
      <c r="A23" s="1"/>
      <c r="B23" s="11" t="s">
        <v>40</v>
      </c>
      <c r="C23" s="15" t="n">
        <f aca="false">COUNTIFS(Заказы!$O$4:$O$1003,"Отменён")</f>
        <v>0</v>
      </c>
      <c r="D23" s="1"/>
      <c r="E23" s="8" t="s">
        <v>41</v>
      </c>
      <c r="F23" s="13" t="n">
        <f aca="false">COUNTIFS(Заказы!$O$4:$O$1003,"Выполнен",Заказы!$N$4:$N$1003,"СДЭК")</f>
        <v>0</v>
      </c>
      <c r="G23" s="14" t="n">
        <f aca="false">SUMIFS(Заказы!$I$4:$I$1003,Заказы!$O$4:$O$1003,"Выполнен",Заказы!$N$4:$N$1003,"СДЭК")</f>
        <v>0</v>
      </c>
    </row>
    <row r="24" customFormat="false" ht="15" hidden="false" customHeight="false" outlineLevel="0" collapsed="false">
      <c r="A24" s="1"/>
      <c r="B24" s="1"/>
      <c r="C24" s="1"/>
      <c r="D24" s="1"/>
      <c r="E24" s="8" t="s">
        <v>42</v>
      </c>
      <c r="F24" s="13" t="n">
        <f aca="false">COUNTIFS(Заказы!$O$4:$O$1003,"Выполнен",Заказы!$N$4:$N$1003,"Маршрутка")</f>
        <v>0</v>
      </c>
      <c r="G24" s="14" t="n">
        <f aca="false">SUMIFS(Заказы!$I$4:$I$1003,Заказы!$O$4:$O$1003,"Выполнен",Заказы!$N$4:$N$1003,"Маршрутка")</f>
        <v>0</v>
      </c>
    </row>
    <row r="25" customFormat="false" ht="15" hidden="false" customHeight="false" outlineLevel="0" collapsed="false">
      <c r="A25" s="1"/>
      <c r="B25" s="4" t="s">
        <v>43</v>
      </c>
      <c r="C25" s="5"/>
      <c r="D25" s="1"/>
      <c r="E25" s="8" t="s">
        <v>44</v>
      </c>
      <c r="F25" s="13" t="n">
        <f aca="false">COUNTIFS(Заказы!$O$4:$O$1003,"Выполнен",Заказы!$N$4:$N$1003,"Курьер")</f>
        <v>0</v>
      </c>
      <c r="G25" s="14" t="n">
        <f aca="false">SUMIFS(Заказы!$I$4:$I$1003,Заказы!$O$4:$O$1003,"Выполнен",Заказы!$N$4:$N$1003,"Курьер")</f>
        <v>0</v>
      </c>
    </row>
    <row r="26" customFormat="false" ht="15" hidden="false" customHeight="false" outlineLevel="0" collapsed="false">
      <c r="A26" s="1"/>
      <c r="B26" s="8" t="s">
        <v>45</v>
      </c>
      <c r="C26" s="20" t="n">
        <v>300000</v>
      </c>
      <c r="D26" s="1"/>
      <c r="E26" s="8" t="s">
        <v>46</v>
      </c>
      <c r="F26" s="13" t="n">
        <f aca="false">COUNTIFS(Заказы!$O$4:$O$1003,"Выполнен",Заказы!$N$4:$N$1003,"Почта")</f>
        <v>0</v>
      </c>
      <c r="G26" s="14" t="n">
        <f aca="false">SUMIFS(Заказы!$I$4:$I$1003,Заказы!$O$4:$O$1003,"Выполнен",Заказы!$N$4:$N$1003,"Почта")</f>
        <v>0</v>
      </c>
    </row>
    <row r="27" customFormat="false" ht="15" hidden="false" customHeight="false" outlineLevel="0" collapsed="false">
      <c r="A27" s="1"/>
      <c r="B27" s="11" t="s">
        <v>47</v>
      </c>
      <c r="C27" s="16" t="n">
        <f aca="true">SUMIFS(Заказы!$I$4:$I$1003,Заказы!$O$4:$O$1003,"Выполнен",Заказы!$B$4:$B$1003,"&gt;="&amp;DATE(YEAR(TODAY()),MONTH(TODAY()),1),Заказы!$B$4:$B$1003,"&lt;"&amp;EDATE(DATE(YEAR(TODAY()),MONTH(TODAY()),1),1))</f>
        <v>9500</v>
      </c>
      <c r="D27" s="1"/>
      <c r="E27" s="1"/>
      <c r="F27" s="1"/>
      <c r="G27" s="1"/>
    </row>
    <row r="28" customFormat="false" ht="15" hidden="false" customHeight="false" outlineLevel="0" collapsed="false">
      <c r="A28" s="1"/>
      <c r="B28" s="6" t="s">
        <v>48</v>
      </c>
      <c r="C28" s="21" t="n">
        <f aca="false">IF(C26=0,0,C27/C26)</f>
        <v>0.0316666666666667</v>
      </c>
      <c r="D28" s="1"/>
      <c r="E28" s="1"/>
      <c r="F28" s="1"/>
      <c r="G28" s="1"/>
    </row>
    <row r="29" customFormat="false" ht="15" hidden="false" customHeight="false" outlineLevel="0" collapsed="false">
      <c r="A29" s="1"/>
      <c r="B29" s="11" t="s">
        <v>49</v>
      </c>
      <c r="C29" s="16" t="n">
        <f aca="false">MAX(0,C26-C27)</f>
        <v>290500</v>
      </c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4" t="s">
        <v>50</v>
      </c>
      <c r="C31" s="5"/>
      <c r="D31" s="1"/>
      <c r="E31" s="1"/>
      <c r="F31" s="1"/>
      <c r="G31" s="1"/>
    </row>
    <row r="32" customFormat="false" ht="15" hidden="false" customHeight="false" outlineLevel="0" collapsed="false">
      <c r="A32" s="1"/>
      <c r="B32" s="11" t="s">
        <v>51</v>
      </c>
      <c r="C32" s="15" t="n">
        <f aca="false">COUNTIFS(Товары!$B$4:$B$63,"&lt;&gt;",Товары!$I$4:$I$63,"&lt;=0")</f>
        <v>5</v>
      </c>
      <c r="D32" s="1"/>
      <c r="E32" s="1"/>
      <c r="F32" s="1"/>
      <c r="G32" s="1"/>
    </row>
    <row r="33" customFormat="false" ht="15" hidden="false" customHeight="false" outlineLevel="0" collapsed="false">
      <c r="A33" s="1"/>
      <c r="B33" s="11" t="s">
        <v>52</v>
      </c>
      <c r="C33" s="15" t="n">
        <f aca="false">COUNTIFS(Товары!$B$4:$B$63,"&lt;&gt;",Товары!$I$4:$I$63,1)</f>
        <v>1</v>
      </c>
      <c r="D33" s="1"/>
      <c r="E33" s="1"/>
      <c r="F33" s="1"/>
      <c r="G33" s="1"/>
    </row>
    <row r="34" customFormat="false" ht="15" hidden="false" customHeight="false" outlineLevel="0" collapsed="false">
      <c r="A34" s="1"/>
      <c r="B34" s="11" t="s">
        <v>53</v>
      </c>
      <c r="C34" s="16" t="n">
        <f aca="false">SUMPRODUCT((Товары!$B$4:$B$63&lt;&gt;"")*N(+Товары!$I$4:$I$63),Товары!$C$4:$C$63)</f>
        <v>200050</v>
      </c>
      <c r="D34" s="1"/>
      <c r="E34" s="1"/>
      <c r="F34" s="1"/>
      <c r="G34" s="1"/>
    </row>
  </sheetData>
  <conditionalFormatting sqref="C28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22" t="s">
        <v>54</v>
      </c>
    </row>
    <row r="2" customFormat="false" ht="15" hidden="false" customHeight="false" outlineLevel="0" collapsed="false">
      <c r="A2" s="3" t="s">
        <v>55</v>
      </c>
    </row>
    <row r="4" customFormat="false" ht="15" hidden="false" customHeight="false" outlineLevel="0" collapsed="false">
      <c r="A4" s="6" t="s">
        <v>56</v>
      </c>
      <c r="B4" s="23" t="s">
        <v>57</v>
      </c>
    </row>
    <row r="5" customFormat="false" ht="15" hidden="false" customHeight="false" outlineLevel="0" collapsed="false">
      <c r="A5" s="6" t="s">
        <v>58</v>
      </c>
      <c r="B5" s="23"/>
    </row>
    <row r="6" customFormat="false" ht="15" hidden="false" customHeight="false" outlineLevel="0" collapsed="false">
      <c r="A6" s="6" t="s">
        <v>59</v>
      </c>
      <c r="B6" s="23"/>
    </row>
    <row r="7" customFormat="false" ht="15" hidden="false" customHeight="false" outlineLevel="0" collapsed="false">
      <c r="A7" s="6" t="s">
        <v>60</v>
      </c>
      <c r="B7" s="23" t="s">
        <v>61</v>
      </c>
    </row>
    <row r="8" customFormat="false" ht="15" hidden="false" customHeight="false" outlineLevel="0" collapsed="false">
      <c r="A8" s="6" t="s">
        <v>62</v>
      </c>
      <c r="B8" s="23" t="s">
        <v>63</v>
      </c>
    </row>
    <row r="9" customFormat="false" ht="15" hidden="false" customHeight="false" outlineLevel="0" collapsed="false">
      <c r="A9" s="6" t="s">
        <v>64</v>
      </c>
      <c r="B9" s="23" t="s">
        <v>65</v>
      </c>
    </row>
    <row r="10" customFormat="false" ht="15" hidden="false" customHeight="false" outlineLevel="0" collapsed="false">
      <c r="A10" s="6" t="s">
        <v>66</v>
      </c>
      <c r="B10" s="23" t="s">
        <v>63</v>
      </c>
    </row>
    <row r="11" customFormat="false" ht="15" hidden="false" customHeight="false" outlineLevel="0" collapsed="false">
      <c r="A11" s="6" t="s">
        <v>67</v>
      </c>
      <c r="B11" s="23" t="s">
        <v>68</v>
      </c>
    </row>
    <row r="12" customFormat="false" ht="15" hidden="false" customHeight="false" outlineLevel="0" collapsed="false">
      <c r="A12" s="6" t="s">
        <v>69</v>
      </c>
      <c r="B12" s="23" t="s">
        <v>70</v>
      </c>
    </row>
    <row r="13" customFormat="false" ht="15" hidden="false" customHeight="false" outlineLevel="0" collapsed="false">
      <c r="A13" s="6" t="s">
        <v>71</v>
      </c>
      <c r="B13" s="23" t="s">
        <v>72</v>
      </c>
    </row>
    <row r="14" customFormat="false" ht="15" hidden="false" customHeight="false" outlineLevel="0" collapsed="false">
      <c r="A14" s="6" t="s">
        <v>73</v>
      </c>
      <c r="B14" s="23"/>
    </row>
    <row r="17" customFormat="false" ht="15" hidden="false" customHeight="false" outlineLevel="0" collapsed="false">
      <c r="A17" s="24" t="s">
        <v>74</v>
      </c>
    </row>
    <row r="18" customFormat="false" ht="15" hidden="false" customHeight="false" outlineLevel="0" collapsed="false">
      <c r="A18" s="25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2" min="10" style="0" width="15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22" t="s">
        <v>76</v>
      </c>
    </row>
    <row r="2" customFormat="false" ht="15" hidden="false" customHeight="false" outlineLevel="0" collapsed="false">
      <c r="A2" s="3" t="s">
        <v>77</v>
      </c>
    </row>
    <row r="3" customFormat="false" ht="45" hidden="false" customHeight="true" outlineLevel="0" collapsed="false">
      <c r="A3" s="26" t="s">
        <v>78</v>
      </c>
      <c r="B3" s="26" t="s">
        <v>79</v>
      </c>
      <c r="C3" s="26" t="s">
        <v>80</v>
      </c>
      <c r="D3" s="26" t="s">
        <v>81</v>
      </c>
      <c r="E3" s="26" t="s">
        <v>82</v>
      </c>
      <c r="F3" s="26" t="s">
        <v>83</v>
      </c>
      <c r="G3" s="26" t="s">
        <v>84</v>
      </c>
      <c r="H3" s="26" t="s">
        <v>85</v>
      </c>
      <c r="I3" s="26" t="s">
        <v>86</v>
      </c>
      <c r="J3" s="26" t="s">
        <v>87</v>
      </c>
      <c r="K3" s="26" t="s">
        <v>88</v>
      </c>
      <c r="L3" s="26" t="s">
        <v>89</v>
      </c>
      <c r="M3" s="26" t="s">
        <v>90</v>
      </c>
      <c r="N3" s="26" t="s">
        <v>91</v>
      </c>
    </row>
    <row r="4" customFormat="false" ht="15" hidden="false" customHeight="false" outlineLevel="0" collapsed="false">
      <c r="A4" s="27" t="n">
        <f aca="false">IF(B4="","",ROW()-3)</f>
        <v>1</v>
      </c>
      <c r="B4" s="28" t="s">
        <v>92</v>
      </c>
      <c r="C4" s="29" t="n">
        <v>3500</v>
      </c>
      <c r="D4" s="29" t="n">
        <v>5000</v>
      </c>
      <c r="E4" s="30" t="n">
        <v>60</v>
      </c>
      <c r="F4" s="30" t="n">
        <v>33</v>
      </c>
      <c r="G4" s="31" t="n">
        <f aca="false">IF(B4="","",SUMIFS(Заказы!$F$4:$F$1003,Заказы!$E$4:$E$1003,B4,Заказы!$O$4:$O$1003,"Выполнен"))</f>
        <v>2</v>
      </c>
      <c r="H4" s="31" t="n">
        <f aca="false">IF(B4="","",SUMIFS(Заказы!$F$4:$F$1003,Заказы!$E$4:$E$1003,B4,Заказы!$O$4:$O$1003,"Ожидает отправки")+SUMIFS(Заказы!$F$4:$F$1003,Заказы!$E$4:$E$1003,B4,Заказы!$O$4:$O$1003,"Отправлен (в пути)")+SUMIFS(Заказы!$F$4:$F$1003,Заказы!$E$4:$E$1003,B4,Заказы!$O$4:$O$1003,"Ожидает самовывоза"))</f>
        <v>0</v>
      </c>
      <c r="I4" s="31" t="n">
        <f aca="false">IF(B4="","",N(E4)-N(F4)-G4-H4)</f>
        <v>25</v>
      </c>
      <c r="J4" s="32" t="n">
        <f aca="false">IF(B4="","",SUMIFS(Заказы!$I$4:$I$1003,Заказы!$E$4:$E$1003,B4,Заказы!$O$4:$O$1003,"Выполнен"))</f>
        <v>9500</v>
      </c>
      <c r="K4" s="32" t="n">
        <f aca="false">IF(B4="","",SUMIFS(Заказы!$M$4:$M$1003,Заказы!$E$4:$E$1003,B4,Заказы!$O$4:$O$1003,"Выполнен"))</f>
        <v>2500</v>
      </c>
      <c r="L4" s="32" t="n">
        <f aca="false">IF(B4="","",SUMIFS(Заказы!$I$4:$I$1003,Заказы!$E$4:$E$1003,B4,Заказы!$O$4:$O$1003,"Ожидает отправки")+SUMIFS(Заказы!$I$4:$I$1003,Заказы!$E$4:$E$1003,B4,Заказы!$O$4:$O$1003,"Отправлен (в пути)")+SUMIFS(Заказы!$I$4:$I$1003,Заказы!$E$4:$E$1003,B4,Заказы!$O$4:$O$1003,"Ожидает самовывоза"))</f>
        <v>0</v>
      </c>
      <c r="M4" s="33" t="n">
        <f aca="false">IF(OR(B4="",N(J4)=0),"",K4/J4)</f>
        <v>0.263157894736842</v>
      </c>
      <c r="N4" s="28"/>
    </row>
    <row r="5" customFormat="false" ht="15" hidden="false" customHeight="false" outlineLevel="0" collapsed="false">
      <c r="A5" s="27" t="n">
        <f aca="false">IF(B5="","",ROW()-3)</f>
        <v>2</v>
      </c>
      <c r="B5" s="28" t="s">
        <v>93</v>
      </c>
      <c r="C5" s="29" t="n">
        <v>0</v>
      </c>
      <c r="D5" s="29" t="n">
        <v>0</v>
      </c>
      <c r="E5" s="30" t="n">
        <v>5</v>
      </c>
      <c r="F5" s="30"/>
      <c r="G5" s="31" t="n">
        <f aca="false">IF(B5="","",SUMIFS(Заказы!$F$4:$F$1003,Заказы!$E$4:$E$1003,B5,Заказы!$O$4:$O$1003,"Выполнен"))</f>
        <v>0</v>
      </c>
      <c r="H5" s="31" t="n">
        <f aca="false">IF(B5="","",SUMIFS(Заказы!$F$4:$F$1003,Заказы!$E$4:$E$1003,B5,Заказы!$O$4:$O$1003,"Ожидает отправки")+SUMIFS(Заказы!$F$4:$F$1003,Заказы!$E$4:$E$1003,B5,Заказы!$O$4:$O$1003,"Отправлен (в пути)")+SUMIFS(Заказы!$F$4:$F$1003,Заказы!$E$4:$E$1003,B5,Заказы!$O$4:$O$1003,"Ожидает самовывоза"))</f>
        <v>0</v>
      </c>
      <c r="I5" s="31" t="n">
        <f aca="false">IF(B5="","",N(E5)-N(F5)-G5-H5)</f>
        <v>5</v>
      </c>
      <c r="J5" s="32" t="n">
        <f aca="false">IF(B5="","",SUMIFS(Заказы!$I$4:$I$1003,Заказы!$E$4:$E$1003,B5,Заказы!$O$4:$O$1003,"Выполнен"))</f>
        <v>0</v>
      </c>
      <c r="K5" s="32" t="n">
        <f aca="false">IF(B5="","",SUMIFS(Заказы!$M$4:$M$1003,Заказы!$E$4:$E$1003,B5,Заказы!$O$4:$O$1003,"Выполнен"))</f>
        <v>0</v>
      </c>
      <c r="L5" s="32" t="n">
        <f aca="false">IF(B5="","",SUMIFS(Заказы!$I$4:$I$1003,Заказы!$E$4:$E$1003,B5,Заказы!$O$4:$O$1003,"Ожидает отправки")+SUMIFS(Заказы!$I$4:$I$1003,Заказы!$E$4:$E$1003,B5,Заказы!$O$4:$O$1003,"Отправлен (в пути)")+SUMIFS(Заказы!$I$4:$I$1003,Заказы!$E$4:$E$1003,B5,Заказы!$O$4:$O$1003,"Ожидает самовывоза"))</f>
        <v>0</v>
      </c>
      <c r="M5" s="33" t="str">
        <f aca="false">IF(OR(B5="",N(J5)=0),"",K5/J5)</f>
        <v/>
      </c>
      <c r="N5" s="28"/>
    </row>
    <row r="6" customFormat="false" ht="15" hidden="false" customHeight="false" outlineLevel="0" collapsed="false">
      <c r="A6" s="27" t="n">
        <f aca="false">IF(B6="","",ROW()-3)</f>
        <v>3</v>
      </c>
      <c r="B6" s="28" t="s">
        <v>94</v>
      </c>
      <c r="C6" s="29" t="n">
        <v>1000</v>
      </c>
      <c r="D6" s="29" t="n">
        <v>2500</v>
      </c>
      <c r="E6" s="30" t="n">
        <v>5</v>
      </c>
      <c r="F6" s="30" t="n">
        <v>3</v>
      </c>
      <c r="G6" s="31" t="n">
        <f aca="false">IF(B6="","",SUMIFS(Заказы!$F$4:$F$1003,Заказы!$E$4:$E$1003,B6,Заказы!$O$4:$O$1003,"Выполнен"))</f>
        <v>0</v>
      </c>
      <c r="H6" s="31" t="n">
        <f aca="false">IF(B6="","",SUMIFS(Заказы!$F$4:$F$1003,Заказы!$E$4:$E$1003,B6,Заказы!$O$4:$O$1003,"Ожидает отправки")+SUMIFS(Заказы!$F$4:$F$1003,Заказы!$E$4:$E$1003,B6,Заказы!$O$4:$O$1003,"Отправлен (в пути)")+SUMIFS(Заказы!$F$4:$F$1003,Заказы!$E$4:$E$1003,B6,Заказы!$O$4:$O$1003,"Ожидает самовывоза"))</f>
        <v>0</v>
      </c>
      <c r="I6" s="31" t="n">
        <f aca="false">IF(B6="","",N(E6)-N(F6)-G6-H6)</f>
        <v>2</v>
      </c>
      <c r="J6" s="32" t="n">
        <f aca="false">IF(B6="","",SUMIFS(Заказы!$I$4:$I$1003,Заказы!$E$4:$E$1003,B6,Заказы!$O$4:$O$1003,"Выполнен"))</f>
        <v>0</v>
      </c>
      <c r="K6" s="32" t="n">
        <f aca="false">IF(B6="","",SUMIFS(Заказы!$M$4:$M$1003,Заказы!$E$4:$E$1003,B6,Заказы!$O$4:$O$1003,"Выполнен"))</f>
        <v>0</v>
      </c>
      <c r="L6" s="32" t="n">
        <f aca="false">IF(B6="","",SUMIFS(Заказы!$I$4:$I$1003,Заказы!$E$4:$E$1003,B6,Заказы!$O$4:$O$1003,"Ожидает отправки")+SUMIFS(Заказы!$I$4:$I$1003,Заказы!$E$4:$E$1003,B6,Заказы!$O$4:$O$1003,"Отправлен (в пути)")+SUMIFS(Заказы!$I$4:$I$1003,Заказы!$E$4:$E$1003,B6,Заказы!$O$4:$O$1003,"Ожидает самовывоза"))</f>
        <v>0</v>
      </c>
      <c r="M6" s="33" t="str">
        <f aca="false">IF(OR(B6="",N(J6)=0),"",K6/J6)</f>
        <v/>
      </c>
      <c r="N6" s="28"/>
    </row>
    <row r="7" customFormat="false" ht="15" hidden="false" customHeight="false" outlineLevel="0" collapsed="false">
      <c r="A7" s="27" t="n">
        <f aca="false">IF(B7="","",ROW()-3)</f>
        <v>4</v>
      </c>
      <c r="B7" s="28" t="s">
        <v>95</v>
      </c>
      <c r="C7" s="29" t="n">
        <v>1050</v>
      </c>
      <c r="D7" s="29" t="n">
        <v>1800</v>
      </c>
      <c r="E7" s="30" t="n">
        <v>5</v>
      </c>
      <c r="F7" s="30"/>
      <c r="G7" s="31" t="n">
        <f aca="false">IF(B7="","",SUMIFS(Заказы!$F$4:$F$1003,Заказы!$E$4:$E$1003,B7,Заказы!$O$4:$O$1003,"Выполнен"))</f>
        <v>0</v>
      </c>
      <c r="H7" s="31" t="n">
        <f aca="false">IF(B7="","",SUMIFS(Заказы!$F$4:$F$1003,Заказы!$E$4:$E$1003,B7,Заказы!$O$4:$O$1003,"Ожидает отправки")+SUMIFS(Заказы!$F$4:$F$1003,Заказы!$E$4:$E$1003,B7,Заказы!$O$4:$O$1003,"Отправлен (в пути)")+SUMIFS(Заказы!$F$4:$F$1003,Заказы!$E$4:$E$1003,B7,Заказы!$O$4:$O$1003,"Ожидает самовывоза"))</f>
        <v>0</v>
      </c>
      <c r="I7" s="31" t="n">
        <f aca="false">IF(B7="","",N(E7)-N(F7)-G7-H7)</f>
        <v>5</v>
      </c>
      <c r="J7" s="32" t="n">
        <f aca="false">IF(B7="","",SUMIFS(Заказы!$I$4:$I$1003,Заказы!$E$4:$E$1003,B7,Заказы!$O$4:$O$1003,"Выполнен"))</f>
        <v>0</v>
      </c>
      <c r="K7" s="32" t="n">
        <f aca="false">IF(B7="","",SUMIFS(Заказы!$M$4:$M$1003,Заказы!$E$4:$E$1003,B7,Заказы!$O$4:$O$1003,"Выполнен"))</f>
        <v>0</v>
      </c>
      <c r="L7" s="32" t="n">
        <f aca="false">IF(B7="","",SUMIFS(Заказы!$I$4:$I$1003,Заказы!$E$4:$E$1003,B7,Заказы!$O$4:$O$1003,"Ожидает отправки")+SUMIFS(Заказы!$I$4:$I$1003,Заказы!$E$4:$E$1003,B7,Заказы!$O$4:$O$1003,"Отправлен (в пути)")+SUMIFS(Заказы!$I$4:$I$1003,Заказы!$E$4:$E$1003,B7,Заказы!$O$4:$O$1003,"Ожидает самовывоза"))</f>
        <v>0</v>
      </c>
      <c r="M7" s="33" t="str">
        <f aca="false">IF(OR(B7="",N(J7)=0),"",K7/J7)</f>
        <v/>
      </c>
      <c r="N7" s="28"/>
    </row>
    <row r="8" customFormat="false" ht="15" hidden="false" customHeight="false" outlineLevel="0" collapsed="false">
      <c r="A8" s="27" t="n">
        <f aca="false">IF(B8="","",ROW()-3)</f>
        <v>5</v>
      </c>
      <c r="B8" s="28" t="s">
        <v>96</v>
      </c>
      <c r="C8" s="29" t="n">
        <v>1400</v>
      </c>
      <c r="D8" s="29" t="n">
        <v>3600</v>
      </c>
      <c r="E8" s="30" t="n">
        <v>5</v>
      </c>
      <c r="F8" s="30"/>
      <c r="G8" s="31" t="n">
        <f aca="false">IF(B8="","",SUMIFS(Заказы!$F$4:$F$1003,Заказы!$E$4:$E$1003,B8,Заказы!$O$4:$O$1003,"Выполнен"))</f>
        <v>0</v>
      </c>
      <c r="H8" s="31" t="n">
        <f aca="false">IF(B8="","",SUMIFS(Заказы!$F$4:$F$1003,Заказы!$E$4:$E$1003,B8,Заказы!$O$4:$O$1003,"Ожидает отправки")+SUMIFS(Заказы!$F$4:$F$1003,Заказы!$E$4:$E$1003,B8,Заказы!$O$4:$O$1003,"Отправлен (в пути)")+SUMIFS(Заказы!$F$4:$F$1003,Заказы!$E$4:$E$1003,B8,Заказы!$O$4:$O$1003,"Ожидает самовывоза"))</f>
        <v>0</v>
      </c>
      <c r="I8" s="31" t="n">
        <f aca="false">IF(B8="","",N(E8)-N(F8)-G8-H8)</f>
        <v>5</v>
      </c>
      <c r="J8" s="32" t="n">
        <f aca="false">IF(B8="","",SUMIFS(Заказы!$I$4:$I$1003,Заказы!$E$4:$E$1003,B8,Заказы!$O$4:$O$1003,"Выполнен"))</f>
        <v>0</v>
      </c>
      <c r="K8" s="32" t="n">
        <f aca="false">IF(B8="","",SUMIFS(Заказы!$M$4:$M$1003,Заказы!$E$4:$E$1003,B8,Заказы!$O$4:$O$1003,"Выполнен"))</f>
        <v>0</v>
      </c>
      <c r="L8" s="32" t="n">
        <f aca="false">IF(B8="","",SUMIFS(Заказы!$I$4:$I$1003,Заказы!$E$4:$E$1003,B8,Заказы!$O$4:$O$1003,"Ожидает отправки")+SUMIFS(Заказы!$I$4:$I$1003,Заказы!$E$4:$E$1003,B8,Заказы!$O$4:$O$1003,"Отправлен (в пути)")+SUMIFS(Заказы!$I$4:$I$1003,Заказы!$E$4:$E$1003,B8,Заказы!$O$4:$O$1003,"Ожидает самовывоза"))</f>
        <v>0</v>
      </c>
      <c r="M8" s="33" t="str">
        <f aca="false">IF(OR(B8="",N(J8)=0),"",K8/J8)</f>
        <v/>
      </c>
      <c r="N8" s="28"/>
    </row>
    <row r="9" customFormat="false" ht="15" hidden="false" customHeight="false" outlineLevel="0" collapsed="false">
      <c r="A9" s="27" t="n">
        <f aca="false">IF(B9="","",ROW()-3)</f>
        <v>6</v>
      </c>
      <c r="B9" s="28" t="s">
        <v>97</v>
      </c>
      <c r="C9" s="29" t="n">
        <v>1300</v>
      </c>
      <c r="D9" s="29" t="n">
        <v>2500</v>
      </c>
      <c r="E9" s="30" t="n">
        <v>15</v>
      </c>
      <c r="F9" s="30" t="n">
        <v>2</v>
      </c>
      <c r="G9" s="31" t="n">
        <f aca="false">IF(B9="","",SUMIFS(Заказы!$F$4:$F$1003,Заказы!$E$4:$E$1003,B9,Заказы!$O$4:$O$1003,"Выполнен"))</f>
        <v>0</v>
      </c>
      <c r="H9" s="31" t="n">
        <f aca="false">IF(B9="","",SUMIFS(Заказы!$F$4:$F$1003,Заказы!$E$4:$E$1003,B9,Заказы!$O$4:$O$1003,"Ожидает отправки")+SUMIFS(Заказы!$F$4:$F$1003,Заказы!$E$4:$E$1003,B9,Заказы!$O$4:$O$1003,"Отправлен (в пути)")+SUMIFS(Заказы!$F$4:$F$1003,Заказы!$E$4:$E$1003,B9,Заказы!$O$4:$O$1003,"Ожидает самовывоза"))</f>
        <v>0</v>
      </c>
      <c r="I9" s="31" t="n">
        <f aca="false">IF(B9="","",N(E9)-N(F9)-G9-H9)</f>
        <v>13</v>
      </c>
      <c r="J9" s="32" t="n">
        <f aca="false">IF(B9="","",SUMIFS(Заказы!$I$4:$I$1003,Заказы!$E$4:$E$1003,B9,Заказы!$O$4:$O$1003,"Выполнен"))</f>
        <v>0</v>
      </c>
      <c r="K9" s="32" t="n">
        <f aca="false">IF(B9="","",SUMIFS(Заказы!$M$4:$M$1003,Заказы!$E$4:$E$1003,B9,Заказы!$O$4:$O$1003,"Выполнен"))</f>
        <v>0</v>
      </c>
      <c r="L9" s="32" t="n">
        <f aca="false">IF(B9="","",SUMIFS(Заказы!$I$4:$I$1003,Заказы!$E$4:$E$1003,B9,Заказы!$O$4:$O$1003,"Ожидает отправки")+SUMIFS(Заказы!$I$4:$I$1003,Заказы!$E$4:$E$1003,B9,Заказы!$O$4:$O$1003,"Отправлен (в пути)")+SUMIFS(Заказы!$I$4:$I$1003,Заказы!$E$4:$E$1003,B9,Заказы!$O$4:$O$1003,"Ожидает самовывоза"))</f>
        <v>0</v>
      </c>
      <c r="M9" s="33" t="str">
        <f aca="false">IF(OR(B9="",N(J9)=0),"",K9/J9)</f>
        <v/>
      </c>
      <c r="N9" s="28"/>
    </row>
    <row r="10" customFormat="false" ht="15" hidden="false" customHeight="false" outlineLevel="0" collapsed="false">
      <c r="A10" s="27" t="n">
        <f aca="false">IF(B10="","",ROW()-3)</f>
        <v>7</v>
      </c>
      <c r="B10" s="28" t="s">
        <v>98</v>
      </c>
      <c r="C10" s="29" t="n">
        <v>1000</v>
      </c>
      <c r="D10" s="29" t="n">
        <v>1900</v>
      </c>
      <c r="E10" s="30" t="n">
        <v>5</v>
      </c>
      <c r="F10" s="30" t="n">
        <v>1</v>
      </c>
      <c r="G10" s="31" t="n">
        <f aca="false">IF(B10="","",SUMIFS(Заказы!$F$4:$F$1003,Заказы!$E$4:$E$1003,B10,Заказы!$O$4:$O$1003,"Выполнен"))</f>
        <v>0</v>
      </c>
      <c r="H10" s="31" t="n">
        <f aca="false">IF(B10="","",SUMIFS(Заказы!$F$4:$F$1003,Заказы!$E$4:$E$1003,B10,Заказы!$O$4:$O$1003,"Ожидает отправки")+SUMIFS(Заказы!$F$4:$F$1003,Заказы!$E$4:$E$1003,B10,Заказы!$O$4:$O$1003,"Отправлен (в пути)")+SUMIFS(Заказы!$F$4:$F$1003,Заказы!$E$4:$E$1003,B10,Заказы!$O$4:$O$1003,"Ожидает самовывоза"))</f>
        <v>0</v>
      </c>
      <c r="I10" s="31" t="n">
        <f aca="false">IF(B10="","",N(E10)-N(F10)-G10-H10)</f>
        <v>4</v>
      </c>
      <c r="J10" s="32" t="n">
        <f aca="false">IF(B10="","",SUMIFS(Заказы!$I$4:$I$1003,Заказы!$E$4:$E$1003,B10,Заказы!$O$4:$O$1003,"Выполнен"))</f>
        <v>0</v>
      </c>
      <c r="K10" s="32" t="n">
        <f aca="false">IF(B10="","",SUMIFS(Заказы!$M$4:$M$1003,Заказы!$E$4:$E$1003,B10,Заказы!$O$4:$O$1003,"Выполнен"))</f>
        <v>0</v>
      </c>
      <c r="L10" s="32" t="n">
        <f aca="false">IF(B10="","",SUMIFS(Заказы!$I$4:$I$1003,Заказы!$E$4:$E$1003,B10,Заказы!$O$4:$O$1003,"Ожидает отправки")+SUMIFS(Заказы!$I$4:$I$1003,Заказы!$E$4:$E$1003,B10,Заказы!$O$4:$O$1003,"Отправлен (в пути)")+SUMIFS(Заказы!$I$4:$I$1003,Заказы!$E$4:$E$1003,B10,Заказы!$O$4:$O$1003,"Ожидает самовывоза"))</f>
        <v>0</v>
      </c>
      <c r="M10" s="33" t="str">
        <f aca="false">IF(OR(B10="",N(J10)=0),"",K10/J10)</f>
        <v/>
      </c>
      <c r="N10" s="28"/>
    </row>
    <row r="11" customFormat="false" ht="15" hidden="false" customHeight="false" outlineLevel="0" collapsed="false">
      <c r="A11" s="27" t="n">
        <f aca="false">IF(B11="","",ROW()-3)</f>
        <v>8</v>
      </c>
      <c r="B11" s="28" t="s">
        <v>99</v>
      </c>
      <c r="C11" s="29" t="n">
        <v>650</v>
      </c>
      <c r="D11" s="29" t="n">
        <v>1600</v>
      </c>
      <c r="E11" s="30" t="n">
        <v>3</v>
      </c>
      <c r="F11" s="30"/>
      <c r="G11" s="31" t="n">
        <f aca="false">IF(B11="","",SUMIFS(Заказы!$F$4:$F$1003,Заказы!$E$4:$E$1003,B11,Заказы!$O$4:$O$1003,"Выполнен"))</f>
        <v>0</v>
      </c>
      <c r="H11" s="31" t="n">
        <f aca="false">IF(B11="","",SUMIFS(Заказы!$F$4:$F$1003,Заказы!$E$4:$E$1003,B11,Заказы!$O$4:$O$1003,"Ожидает отправки")+SUMIFS(Заказы!$F$4:$F$1003,Заказы!$E$4:$E$1003,B11,Заказы!$O$4:$O$1003,"Отправлен (в пути)")+SUMIFS(Заказы!$F$4:$F$1003,Заказы!$E$4:$E$1003,B11,Заказы!$O$4:$O$1003,"Ожидает самовывоза"))</f>
        <v>0</v>
      </c>
      <c r="I11" s="31" t="n">
        <f aca="false">IF(B11="","",N(E11)-N(F11)-G11-H11)</f>
        <v>3</v>
      </c>
      <c r="J11" s="32" t="n">
        <f aca="false">IF(B11="","",SUMIFS(Заказы!$I$4:$I$1003,Заказы!$E$4:$E$1003,B11,Заказы!$O$4:$O$1003,"Выполнен"))</f>
        <v>0</v>
      </c>
      <c r="K11" s="32" t="n">
        <f aca="false">IF(B11="","",SUMIFS(Заказы!$M$4:$M$1003,Заказы!$E$4:$E$1003,B11,Заказы!$O$4:$O$1003,"Выполнен"))</f>
        <v>0</v>
      </c>
      <c r="L11" s="32" t="n">
        <f aca="false">IF(B11="","",SUMIFS(Заказы!$I$4:$I$1003,Заказы!$E$4:$E$1003,B11,Заказы!$O$4:$O$1003,"Ожидает отправки")+SUMIFS(Заказы!$I$4:$I$1003,Заказы!$E$4:$E$1003,B11,Заказы!$O$4:$O$1003,"Отправлен (в пути)")+SUMIFS(Заказы!$I$4:$I$1003,Заказы!$E$4:$E$1003,B11,Заказы!$O$4:$O$1003,"Ожидает самовывоза"))</f>
        <v>0</v>
      </c>
      <c r="M11" s="33" t="str">
        <f aca="false">IF(OR(B11="",N(J11)=0),"",K11/J11)</f>
        <v/>
      </c>
      <c r="N11" s="28"/>
    </row>
    <row r="12" customFormat="false" ht="15" hidden="false" customHeight="false" outlineLevel="0" collapsed="false">
      <c r="A12" s="27" t="n">
        <f aca="false">IF(B12="","",ROW()-3)</f>
        <v>9</v>
      </c>
      <c r="B12" s="28" t="s">
        <v>100</v>
      </c>
      <c r="C12" s="29" t="n">
        <v>1200</v>
      </c>
      <c r="D12" s="29" t="n">
        <v>2900</v>
      </c>
      <c r="E12" s="30" t="n">
        <v>4</v>
      </c>
      <c r="F12" s="30"/>
      <c r="G12" s="31" t="n">
        <f aca="false">IF(B12="","",SUMIFS(Заказы!$F$4:$F$1003,Заказы!$E$4:$E$1003,B12,Заказы!$O$4:$O$1003,"Выполнен"))</f>
        <v>0</v>
      </c>
      <c r="H12" s="31" t="n">
        <f aca="false">IF(B12="","",SUMIFS(Заказы!$F$4:$F$1003,Заказы!$E$4:$E$1003,B12,Заказы!$O$4:$O$1003,"Ожидает отправки")+SUMIFS(Заказы!$F$4:$F$1003,Заказы!$E$4:$E$1003,B12,Заказы!$O$4:$O$1003,"Отправлен (в пути)")+SUMIFS(Заказы!$F$4:$F$1003,Заказы!$E$4:$E$1003,B12,Заказы!$O$4:$O$1003,"Ожидает самовывоза"))</f>
        <v>0</v>
      </c>
      <c r="I12" s="31" t="n">
        <f aca="false">IF(B12="","",N(E12)-N(F12)-G12-H12)</f>
        <v>4</v>
      </c>
      <c r="J12" s="32" t="n">
        <f aca="false">IF(B12="","",SUMIFS(Заказы!$I$4:$I$1003,Заказы!$E$4:$E$1003,B12,Заказы!$O$4:$O$1003,"Выполнен"))</f>
        <v>0</v>
      </c>
      <c r="K12" s="32" t="n">
        <f aca="false">IF(B12="","",SUMIFS(Заказы!$M$4:$M$1003,Заказы!$E$4:$E$1003,B12,Заказы!$O$4:$O$1003,"Выполнен"))</f>
        <v>0</v>
      </c>
      <c r="L12" s="32" t="n">
        <f aca="false">IF(B12="","",SUMIFS(Заказы!$I$4:$I$1003,Заказы!$E$4:$E$1003,B12,Заказы!$O$4:$O$1003,"Ожидает отправки")+SUMIFS(Заказы!$I$4:$I$1003,Заказы!$E$4:$E$1003,B12,Заказы!$O$4:$O$1003,"Отправлен (в пути)")+SUMIFS(Заказы!$I$4:$I$1003,Заказы!$E$4:$E$1003,B12,Заказы!$O$4:$O$1003,"Ожидает самовывоза"))</f>
        <v>0</v>
      </c>
      <c r="M12" s="33" t="str">
        <f aca="false">IF(OR(B12="",N(J12)=0),"",K12/J12)</f>
        <v/>
      </c>
      <c r="N12" s="28"/>
    </row>
    <row r="13" customFormat="false" ht="15" hidden="false" customHeight="false" outlineLevel="0" collapsed="false">
      <c r="A13" s="27" t="n">
        <f aca="false">IF(B13="","",ROW()-3)</f>
        <v>10</v>
      </c>
      <c r="B13" s="28" t="s">
        <v>101</v>
      </c>
      <c r="C13" s="29" t="n">
        <v>1000</v>
      </c>
      <c r="D13" s="29" t="n">
        <v>1700</v>
      </c>
      <c r="E13" s="30" t="n">
        <v>5</v>
      </c>
      <c r="F13" s="30" t="n">
        <v>2</v>
      </c>
      <c r="G13" s="31" t="n">
        <f aca="false">IF(B13="","",SUMIFS(Заказы!$F$4:$F$1003,Заказы!$E$4:$E$1003,B13,Заказы!$O$4:$O$1003,"Выполнен"))</f>
        <v>0</v>
      </c>
      <c r="H13" s="31" t="n">
        <f aca="false">IF(B13="","",SUMIFS(Заказы!$F$4:$F$1003,Заказы!$E$4:$E$1003,B13,Заказы!$O$4:$O$1003,"Ожидает отправки")+SUMIFS(Заказы!$F$4:$F$1003,Заказы!$E$4:$E$1003,B13,Заказы!$O$4:$O$1003,"Отправлен (в пути)")+SUMIFS(Заказы!$F$4:$F$1003,Заказы!$E$4:$E$1003,B13,Заказы!$O$4:$O$1003,"Ожидает самовывоза"))</f>
        <v>1</v>
      </c>
      <c r="I13" s="31" t="n">
        <f aca="false">IF(B13="","",N(E13)-N(F13)-G13-H13)</f>
        <v>2</v>
      </c>
      <c r="J13" s="32" t="n">
        <f aca="false">IF(B13="","",SUMIFS(Заказы!$I$4:$I$1003,Заказы!$E$4:$E$1003,B13,Заказы!$O$4:$O$1003,"Выполнен"))</f>
        <v>0</v>
      </c>
      <c r="K13" s="32" t="n">
        <f aca="false">IF(B13="","",SUMIFS(Заказы!$M$4:$M$1003,Заказы!$E$4:$E$1003,B13,Заказы!$O$4:$O$1003,"Выполнен"))</f>
        <v>0</v>
      </c>
      <c r="L13" s="32" t="n">
        <f aca="false">IF(B13="","",SUMIFS(Заказы!$I$4:$I$1003,Заказы!$E$4:$E$1003,B13,Заказы!$O$4:$O$1003,"Ожидает отправки")+SUMIFS(Заказы!$I$4:$I$1003,Заказы!$E$4:$E$1003,B13,Заказы!$O$4:$O$1003,"Отправлен (в пути)")+SUMIFS(Заказы!$I$4:$I$1003,Заказы!$E$4:$E$1003,B13,Заказы!$O$4:$O$1003,"Ожидает самовывоза"))</f>
        <v>1700</v>
      </c>
      <c r="M13" s="33" t="str">
        <f aca="false">IF(OR(B13="",N(J13)=0),"",K13/J13)</f>
        <v/>
      </c>
      <c r="N13" s="28"/>
    </row>
    <row r="14" customFormat="false" ht="15" hidden="false" customHeight="false" outlineLevel="0" collapsed="false">
      <c r="A14" s="27" t="n">
        <f aca="false">IF(B14="","",ROW()-3)</f>
        <v>11</v>
      </c>
      <c r="B14" s="28" t="s">
        <v>102</v>
      </c>
      <c r="C14" s="29" t="n">
        <v>1150</v>
      </c>
      <c r="D14" s="29" t="n">
        <v>2000</v>
      </c>
      <c r="E14" s="30" t="n">
        <v>6</v>
      </c>
      <c r="F14" s="30" t="n">
        <v>2</v>
      </c>
      <c r="G14" s="31" t="n">
        <f aca="false">IF(B14="","",SUMIFS(Заказы!$F$4:$F$1003,Заказы!$E$4:$E$1003,B14,Заказы!$O$4:$O$1003,"Выполнен"))</f>
        <v>0</v>
      </c>
      <c r="H14" s="31" t="n">
        <f aca="false">IF(B14="","",SUMIFS(Заказы!$F$4:$F$1003,Заказы!$E$4:$E$1003,B14,Заказы!$O$4:$O$1003,"Ожидает отправки")+SUMIFS(Заказы!$F$4:$F$1003,Заказы!$E$4:$E$1003,B14,Заказы!$O$4:$O$1003,"Отправлен (в пути)")+SUMIFS(Заказы!$F$4:$F$1003,Заказы!$E$4:$E$1003,B14,Заказы!$O$4:$O$1003,"Ожидает самовывоза"))</f>
        <v>0</v>
      </c>
      <c r="I14" s="31" t="n">
        <f aca="false">IF(B14="","",N(E14)-N(F14)-G14-H14)</f>
        <v>4</v>
      </c>
      <c r="J14" s="32" t="n">
        <f aca="false">IF(B14="","",SUMIFS(Заказы!$I$4:$I$1003,Заказы!$E$4:$E$1003,B14,Заказы!$O$4:$O$1003,"Выполнен"))</f>
        <v>0</v>
      </c>
      <c r="K14" s="32" t="n">
        <f aca="false">IF(B14="","",SUMIFS(Заказы!$M$4:$M$1003,Заказы!$E$4:$E$1003,B14,Заказы!$O$4:$O$1003,"Выполнен"))</f>
        <v>0</v>
      </c>
      <c r="L14" s="32" t="n">
        <f aca="false">IF(B14="","",SUMIFS(Заказы!$I$4:$I$1003,Заказы!$E$4:$E$1003,B14,Заказы!$O$4:$O$1003,"Ожидает отправки")+SUMIFS(Заказы!$I$4:$I$1003,Заказы!$E$4:$E$1003,B14,Заказы!$O$4:$O$1003,"Отправлен (в пути)")+SUMIFS(Заказы!$I$4:$I$1003,Заказы!$E$4:$E$1003,B14,Заказы!$O$4:$O$1003,"Ожидает самовывоза"))</f>
        <v>0</v>
      </c>
      <c r="M14" s="33" t="str">
        <f aca="false">IF(OR(B14="",N(J14)=0),"",K14/J14)</f>
        <v/>
      </c>
      <c r="N14" s="28"/>
    </row>
    <row r="15" customFormat="false" ht="15" hidden="false" customHeight="false" outlineLevel="0" collapsed="false">
      <c r="A15" s="27" t="n">
        <f aca="false">IF(B15="","",ROW()-3)</f>
        <v>12</v>
      </c>
      <c r="B15" s="28" t="s">
        <v>103</v>
      </c>
      <c r="C15" s="29" t="n">
        <v>1100</v>
      </c>
      <c r="D15" s="29" t="n">
        <v>2000</v>
      </c>
      <c r="E15" s="30" t="n">
        <v>3</v>
      </c>
      <c r="F15" s="30" t="n">
        <v>1</v>
      </c>
      <c r="G15" s="31" t="n">
        <f aca="false">IF(B15="","",SUMIFS(Заказы!$F$4:$F$1003,Заказы!$E$4:$E$1003,B15,Заказы!$O$4:$O$1003,"Выполнен"))</f>
        <v>0</v>
      </c>
      <c r="H15" s="31" t="n">
        <f aca="false">IF(B15="","",SUMIFS(Заказы!$F$4:$F$1003,Заказы!$E$4:$E$1003,B15,Заказы!$O$4:$O$1003,"Ожидает отправки")+SUMIFS(Заказы!$F$4:$F$1003,Заказы!$E$4:$E$1003,B15,Заказы!$O$4:$O$1003,"Отправлен (в пути)")+SUMIFS(Заказы!$F$4:$F$1003,Заказы!$E$4:$E$1003,B15,Заказы!$O$4:$O$1003,"Ожидает самовывоза"))</f>
        <v>0</v>
      </c>
      <c r="I15" s="31" t="n">
        <f aca="false">IF(B15="","",N(E15)-N(F15)-G15-H15)</f>
        <v>2</v>
      </c>
      <c r="J15" s="32" t="n">
        <f aca="false">IF(B15="","",SUMIFS(Заказы!$I$4:$I$1003,Заказы!$E$4:$E$1003,B15,Заказы!$O$4:$O$1003,"Выполнен"))</f>
        <v>0</v>
      </c>
      <c r="K15" s="32" t="n">
        <f aca="false">IF(B15="","",SUMIFS(Заказы!$M$4:$M$1003,Заказы!$E$4:$E$1003,B15,Заказы!$O$4:$O$1003,"Выполнен"))</f>
        <v>0</v>
      </c>
      <c r="L15" s="32" t="n">
        <f aca="false">IF(B15="","",SUMIFS(Заказы!$I$4:$I$1003,Заказы!$E$4:$E$1003,B15,Заказы!$O$4:$O$1003,"Ожидает отправки")+SUMIFS(Заказы!$I$4:$I$1003,Заказы!$E$4:$E$1003,B15,Заказы!$O$4:$O$1003,"Отправлен (в пути)")+SUMIFS(Заказы!$I$4:$I$1003,Заказы!$E$4:$E$1003,B15,Заказы!$O$4:$O$1003,"Ожидает самовывоза"))</f>
        <v>0</v>
      </c>
      <c r="M15" s="33" t="str">
        <f aca="false">IF(OR(B15="",N(J15)=0),"",K15/J15)</f>
        <v/>
      </c>
      <c r="N15" s="28"/>
    </row>
    <row r="16" customFormat="false" ht="15" hidden="false" customHeight="false" outlineLevel="0" collapsed="false">
      <c r="A16" s="27" t="n">
        <f aca="false">IF(B16="","",ROW()-3)</f>
        <v>13</v>
      </c>
      <c r="B16" s="28" t="s">
        <v>104</v>
      </c>
      <c r="C16" s="29" t="n">
        <v>650</v>
      </c>
      <c r="D16" s="29" t="n">
        <v>1200</v>
      </c>
      <c r="E16" s="30" t="n">
        <v>4</v>
      </c>
      <c r="F16" s="30"/>
      <c r="G16" s="31" t="n">
        <f aca="false">IF(B16="","",SUMIFS(Заказы!$F$4:$F$1003,Заказы!$E$4:$E$1003,B16,Заказы!$O$4:$O$1003,"Выполнен"))</f>
        <v>0</v>
      </c>
      <c r="H16" s="31" t="n">
        <f aca="false">IF(B16="","",SUMIFS(Заказы!$F$4:$F$1003,Заказы!$E$4:$E$1003,B16,Заказы!$O$4:$O$1003,"Ожидает отправки")+SUMIFS(Заказы!$F$4:$F$1003,Заказы!$E$4:$E$1003,B16,Заказы!$O$4:$O$1003,"Отправлен (в пути)")+SUMIFS(Заказы!$F$4:$F$1003,Заказы!$E$4:$E$1003,B16,Заказы!$O$4:$O$1003,"Ожидает самовывоза"))</f>
        <v>0</v>
      </c>
      <c r="I16" s="31" t="n">
        <f aca="false">IF(B16="","",N(E16)-N(F16)-G16-H16)</f>
        <v>4</v>
      </c>
      <c r="J16" s="32" t="n">
        <f aca="false">IF(B16="","",SUMIFS(Заказы!$I$4:$I$1003,Заказы!$E$4:$E$1003,B16,Заказы!$O$4:$O$1003,"Выполнен"))</f>
        <v>0</v>
      </c>
      <c r="K16" s="32" t="n">
        <f aca="false">IF(B16="","",SUMIFS(Заказы!$M$4:$M$1003,Заказы!$E$4:$E$1003,B16,Заказы!$O$4:$O$1003,"Выполнен"))</f>
        <v>0</v>
      </c>
      <c r="L16" s="32" t="n">
        <f aca="false">IF(B16="","",SUMIFS(Заказы!$I$4:$I$1003,Заказы!$E$4:$E$1003,B16,Заказы!$O$4:$O$1003,"Ожидает отправки")+SUMIFS(Заказы!$I$4:$I$1003,Заказы!$E$4:$E$1003,B16,Заказы!$O$4:$O$1003,"Отправлен (в пути)")+SUMIFS(Заказы!$I$4:$I$1003,Заказы!$E$4:$E$1003,B16,Заказы!$O$4:$O$1003,"Ожидает самовывоза"))</f>
        <v>0</v>
      </c>
      <c r="M16" s="33" t="str">
        <f aca="false">IF(OR(B16="",N(J16)=0),"",K16/J16)</f>
        <v/>
      </c>
      <c r="N16" s="28"/>
    </row>
    <row r="17" customFormat="false" ht="15" hidden="false" customHeight="false" outlineLevel="0" collapsed="false">
      <c r="A17" s="27" t="n">
        <f aca="false">IF(B17="","",ROW()-3)</f>
        <v>14</v>
      </c>
      <c r="B17" s="28" t="s">
        <v>105</v>
      </c>
      <c r="C17" s="29" t="n">
        <v>1000</v>
      </c>
      <c r="D17" s="29" t="n">
        <v>1700</v>
      </c>
      <c r="E17" s="30" t="n">
        <v>5</v>
      </c>
      <c r="F17" s="30"/>
      <c r="G17" s="31" t="n">
        <f aca="false">IF(B17="","",SUMIFS(Заказы!$F$4:$F$1003,Заказы!$E$4:$E$1003,B17,Заказы!$O$4:$O$1003,"Выполнен"))</f>
        <v>0</v>
      </c>
      <c r="H17" s="31" t="n">
        <f aca="false">IF(B17="","",SUMIFS(Заказы!$F$4:$F$1003,Заказы!$E$4:$E$1003,B17,Заказы!$O$4:$O$1003,"Ожидает отправки")+SUMIFS(Заказы!$F$4:$F$1003,Заказы!$E$4:$E$1003,B17,Заказы!$O$4:$O$1003,"Отправлен (в пути)")+SUMIFS(Заказы!$F$4:$F$1003,Заказы!$E$4:$E$1003,B17,Заказы!$O$4:$O$1003,"Ожидает самовывоза"))</f>
        <v>0</v>
      </c>
      <c r="I17" s="31" t="n">
        <f aca="false">IF(B17="","",N(E17)-N(F17)-G17-H17)</f>
        <v>5</v>
      </c>
      <c r="J17" s="32" t="n">
        <f aca="false">IF(B17="","",SUMIFS(Заказы!$I$4:$I$1003,Заказы!$E$4:$E$1003,B17,Заказы!$O$4:$O$1003,"Выполнен"))</f>
        <v>0</v>
      </c>
      <c r="K17" s="32" t="n">
        <f aca="false">IF(B17="","",SUMIFS(Заказы!$M$4:$M$1003,Заказы!$E$4:$E$1003,B17,Заказы!$O$4:$O$1003,"Выполнен"))</f>
        <v>0</v>
      </c>
      <c r="L17" s="32" t="n">
        <f aca="false">IF(B17="","",SUMIFS(Заказы!$I$4:$I$1003,Заказы!$E$4:$E$1003,B17,Заказы!$O$4:$O$1003,"Ожидает отправки")+SUMIFS(Заказы!$I$4:$I$1003,Заказы!$E$4:$E$1003,B17,Заказы!$O$4:$O$1003,"Отправлен (в пути)")+SUMIFS(Заказы!$I$4:$I$1003,Заказы!$E$4:$E$1003,B17,Заказы!$O$4:$O$1003,"Ожидает самовывоза"))</f>
        <v>0</v>
      </c>
      <c r="M17" s="33" t="str">
        <f aca="false">IF(OR(B17="",N(J17)=0),"",K17/J17)</f>
        <v/>
      </c>
      <c r="N17" s="28"/>
    </row>
    <row r="18" customFormat="false" ht="15" hidden="false" customHeight="false" outlineLevel="0" collapsed="false">
      <c r="A18" s="27" t="n">
        <f aca="false">IF(B18="","",ROW()-3)</f>
        <v>15</v>
      </c>
      <c r="B18" s="28" t="s">
        <v>106</v>
      </c>
      <c r="C18" s="29" t="n">
        <v>900</v>
      </c>
      <c r="D18" s="29" t="n">
        <v>1800</v>
      </c>
      <c r="E18" s="30" t="n">
        <v>5</v>
      </c>
      <c r="F18" s="30"/>
      <c r="G18" s="31" t="n">
        <f aca="false">IF(B18="","",SUMIFS(Заказы!$F$4:$F$1003,Заказы!$E$4:$E$1003,B18,Заказы!$O$4:$O$1003,"Выполнен"))</f>
        <v>0</v>
      </c>
      <c r="H18" s="31" t="n">
        <f aca="false">IF(B18="","",SUMIFS(Заказы!$F$4:$F$1003,Заказы!$E$4:$E$1003,B18,Заказы!$O$4:$O$1003,"Ожидает отправки")+SUMIFS(Заказы!$F$4:$F$1003,Заказы!$E$4:$E$1003,B18,Заказы!$O$4:$O$1003,"Отправлен (в пути)")+SUMIFS(Заказы!$F$4:$F$1003,Заказы!$E$4:$E$1003,B18,Заказы!$O$4:$O$1003,"Ожидает самовывоза"))</f>
        <v>0</v>
      </c>
      <c r="I18" s="31" t="n">
        <f aca="false">IF(B18="","",N(E18)-N(F18)-G18-H18)</f>
        <v>5</v>
      </c>
      <c r="J18" s="32" t="n">
        <f aca="false">IF(B18="","",SUMIFS(Заказы!$I$4:$I$1003,Заказы!$E$4:$E$1003,B18,Заказы!$O$4:$O$1003,"Выполнен"))</f>
        <v>0</v>
      </c>
      <c r="K18" s="32" t="n">
        <f aca="false">IF(B18="","",SUMIFS(Заказы!$M$4:$M$1003,Заказы!$E$4:$E$1003,B18,Заказы!$O$4:$O$1003,"Выполнен"))</f>
        <v>0</v>
      </c>
      <c r="L18" s="32" t="n">
        <f aca="false">IF(B18="","",SUMIFS(Заказы!$I$4:$I$1003,Заказы!$E$4:$E$1003,B18,Заказы!$O$4:$O$1003,"Ожидает отправки")+SUMIFS(Заказы!$I$4:$I$1003,Заказы!$E$4:$E$1003,B18,Заказы!$O$4:$O$1003,"Отправлен (в пути)")+SUMIFS(Заказы!$I$4:$I$1003,Заказы!$E$4:$E$1003,B18,Заказы!$O$4:$O$1003,"Ожидает самовывоза"))</f>
        <v>0</v>
      </c>
      <c r="M18" s="33" t="str">
        <f aca="false">IF(OR(B18="",N(J18)=0),"",K18/J18)</f>
        <v/>
      </c>
      <c r="N18" s="28"/>
    </row>
    <row r="19" customFormat="false" ht="15" hidden="false" customHeight="false" outlineLevel="0" collapsed="false">
      <c r="A19" s="27" t="n">
        <f aca="false">IF(B19="","",ROW()-3)</f>
        <v>16</v>
      </c>
      <c r="B19" s="28" t="s">
        <v>107</v>
      </c>
      <c r="C19" s="29" t="n">
        <v>1000</v>
      </c>
      <c r="D19" s="29" t="n">
        <v>1800</v>
      </c>
      <c r="E19" s="30" t="n">
        <v>5</v>
      </c>
      <c r="F19" s="30"/>
      <c r="G19" s="31" t="n">
        <f aca="false">IF(B19="","",SUMIFS(Заказы!$F$4:$F$1003,Заказы!$E$4:$E$1003,B19,Заказы!$O$4:$O$1003,"Выполнен"))</f>
        <v>0</v>
      </c>
      <c r="H19" s="31" t="n">
        <f aca="false">IF(B19="","",SUMIFS(Заказы!$F$4:$F$1003,Заказы!$E$4:$E$1003,B19,Заказы!$O$4:$O$1003,"Ожидает отправки")+SUMIFS(Заказы!$F$4:$F$1003,Заказы!$E$4:$E$1003,B19,Заказы!$O$4:$O$1003,"Отправлен (в пути)")+SUMIFS(Заказы!$F$4:$F$1003,Заказы!$E$4:$E$1003,B19,Заказы!$O$4:$O$1003,"Ожидает самовывоза"))</f>
        <v>0</v>
      </c>
      <c r="I19" s="31" t="n">
        <f aca="false">IF(B19="","",N(E19)-N(F19)-G19-H19)</f>
        <v>5</v>
      </c>
      <c r="J19" s="32" t="n">
        <f aca="false">IF(B19="","",SUMIFS(Заказы!$I$4:$I$1003,Заказы!$E$4:$E$1003,B19,Заказы!$O$4:$O$1003,"Выполнен"))</f>
        <v>0</v>
      </c>
      <c r="K19" s="32" t="n">
        <f aca="false">IF(B19="","",SUMIFS(Заказы!$M$4:$M$1003,Заказы!$E$4:$E$1003,B19,Заказы!$O$4:$O$1003,"Выполнен"))</f>
        <v>0</v>
      </c>
      <c r="L19" s="32" t="n">
        <f aca="false">IF(B19="","",SUMIFS(Заказы!$I$4:$I$1003,Заказы!$E$4:$E$1003,B19,Заказы!$O$4:$O$1003,"Ожидает отправки")+SUMIFS(Заказы!$I$4:$I$1003,Заказы!$E$4:$E$1003,B19,Заказы!$O$4:$O$1003,"Отправлен (в пути)")+SUMIFS(Заказы!$I$4:$I$1003,Заказы!$E$4:$E$1003,B19,Заказы!$O$4:$O$1003,"Ожидает самовывоза"))</f>
        <v>0</v>
      </c>
      <c r="M19" s="33" t="str">
        <f aca="false">IF(OR(B19="",N(J19)=0),"",K19/J19)</f>
        <v/>
      </c>
      <c r="N19" s="28"/>
    </row>
    <row r="20" customFormat="false" ht="15" hidden="false" customHeight="false" outlineLevel="0" collapsed="false">
      <c r="A20" s="27" t="n">
        <f aca="false">IF(B20="","",ROW()-3)</f>
        <v>17</v>
      </c>
      <c r="B20" s="28" t="s">
        <v>108</v>
      </c>
      <c r="C20" s="29" t="n">
        <v>1100</v>
      </c>
      <c r="D20" s="29" t="n">
        <v>2800</v>
      </c>
      <c r="E20" s="30" t="n">
        <v>5</v>
      </c>
      <c r="F20" s="30"/>
      <c r="G20" s="31" t="n">
        <f aca="false">IF(B20="","",SUMIFS(Заказы!$F$4:$F$1003,Заказы!$E$4:$E$1003,B20,Заказы!$O$4:$O$1003,"Выполнен"))</f>
        <v>0</v>
      </c>
      <c r="H20" s="31" t="n">
        <f aca="false">IF(B20="","",SUMIFS(Заказы!$F$4:$F$1003,Заказы!$E$4:$E$1003,B20,Заказы!$O$4:$O$1003,"Ожидает отправки")+SUMIFS(Заказы!$F$4:$F$1003,Заказы!$E$4:$E$1003,B20,Заказы!$O$4:$O$1003,"Отправлен (в пути)")+SUMIFS(Заказы!$F$4:$F$1003,Заказы!$E$4:$E$1003,B20,Заказы!$O$4:$O$1003,"Ожидает самовывоза"))</f>
        <v>0</v>
      </c>
      <c r="I20" s="31" t="n">
        <f aca="false">IF(B20="","",N(E20)-N(F20)-G20-H20)</f>
        <v>5</v>
      </c>
      <c r="J20" s="32" t="n">
        <f aca="false">IF(B20="","",SUMIFS(Заказы!$I$4:$I$1003,Заказы!$E$4:$E$1003,B20,Заказы!$O$4:$O$1003,"Выполнен"))</f>
        <v>0</v>
      </c>
      <c r="K20" s="32" t="n">
        <f aca="false">IF(B20="","",SUMIFS(Заказы!$M$4:$M$1003,Заказы!$E$4:$E$1003,B20,Заказы!$O$4:$O$1003,"Выполнен"))</f>
        <v>0</v>
      </c>
      <c r="L20" s="32" t="n">
        <f aca="false">IF(B20="","",SUMIFS(Заказы!$I$4:$I$1003,Заказы!$E$4:$E$1003,B20,Заказы!$O$4:$O$1003,"Ожидает отправки")+SUMIFS(Заказы!$I$4:$I$1003,Заказы!$E$4:$E$1003,B20,Заказы!$O$4:$O$1003,"Отправлен (в пути)")+SUMIFS(Заказы!$I$4:$I$1003,Заказы!$E$4:$E$1003,B20,Заказы!$O$4:$O$1003,"Ожидает самовывоза"))</f>
        <v>0</v>
      </c>
      <c r="M20" s="33" t="str">
        <f aca="false">IF(OR(B20="",N(J20)=0),"",K20/J20)</f>
        <v/>
      </c>
      <c r="N20" s="28"/>
    </row>
    <row r="21" customFormat="false" ht="15" hidden="false" customHeight="false" outlineLevel="0" collapsed="false">
      <c r="A21" s="27" t="n">
        <f aca="false">IF(B21="","",ROW()-3)</f>
        <v>18</v>
      </c>
      <c r="B21" s="28" t="s">
        <v>109</v>
      </c>
      <c r="C21" s="29" t="n">
        <v>1150</v>
      </c>
      <c r="D21" s="29" t="n">
        <v>2300</v>
      </c>
      <c r="E21" s="30" t="n">
        <v>5</v>
      </c>
      <c r="F21" s="30"/>
      <c r="G21" s="31" t="n">
        <f aca="false">IF(B21="","",SUMIFS(Заказы!$F$4:$F$1003,Заказы!$E$4:$E$1003,B21,Заказы!$O$4:$O$1003,"Выполнен"))</f>
        <v>0</v>
      </c>
      <c r="H21" s="31" t="n">
        <f aca="false">IF(B21="","",SUMIFS(Заказы!$F$4:$F$1003,Заказы!$E$4:$E$1003,B21,Заказы!$O$4:$O$1003,"Ожидает отправки")+SUMIFS(Заказы!$F$4:$F$1003,Заказы!$E$4:$E$1003,B21,Заказы!$O$4:$O$1003,"Отправлен (в пути)")+SUMIFS(Заказы!$F$4:$F$1003,Заказы!$E$4:$E$1003,B21,Заказы!$O$4:$O$1003,"Ожидает самовывоза"))</f>
        <v>0</v>
      </c>
      <c r="I21" s="31" t="n">
        <f aca="false">IF(B21="","",N(E21)-N(F21)-G21-H21)</f>
        <v>5</v>
      </c>
      <c r="J21" s="32" t="n">
        <f aca="false">IF(B21="","",SUMIFS(Заказы!$I$4:$I$1003,Заказы!$E$4:$E$1003,B21,Заказы!$O$4:$O$1003,"Выполнен"))</f>
        <v>0</v>
      </c>
      <c r="K21" s="32" t="n">
        <f aca="false">IF(B21="","",SUMIFS(Заказы!$M$4:$M$1003,Заказы!$E$4:$E$1003,B21,Заказы!$O$4:$O$1003,"Выполнен"))</f>
        <v>0</v>
      </c>
      <c r="L21" s="32" t="n">
        <f aca="false">IF(B21="","",SUMIFS(Заказы!$I$4:$I$1003,Заказы!$E$4:$E$1003,B21,Заказы!$O$4:$O$1003,"Ожидает отправки")+SUMIFS(Заказы!$I$4:$I$1003,Заказы!$E$4:$E$1003,B21,Заказы!$O$4:$O$1003,"Отправлен (в пути)")+SUMIFS(Заказы!$I$4:$I$1003,Заказы!$E$4:$E$1003,B21,Заказы!$O$4:$O$1003,"Ожидает самовывоза"))</f>
        <v>0</v>
      </c>
      <c r="M21" s="33" t="str">
        <f aca="false">IF(OR(B21="",N(J21)=0),"",K21/J21)</f>
        <v/>
      </c>
      <c r="N21" s="28"/>
    </row>
    <row r="22" customFormat="false" ht="15" hidden="false" customHeight="false" outlineLevel="0" collapsed="false">
      <c r="A22" s="27" t="n">
        <f aca="false">IF(B22="","",ROW()-3)</f>
        <v>19</v>
      </c>
      <c r="B22" s="28" t="s">
        <v>110</v>
      </c>
      <c r="C22" s="29" t="n">
        <v>1000</v>
      </c>
      <c r="D22" s="29" t="n">
        <v>2000</v>
      </c>
      <c r="E22" s="30" t="n">
        <v>5</v>
      </c>
      <c r="F22" s="30"/>
      <c r="G22" s="31" t="n">
        <f aca="false">IF(B22="","",SUMIFS(Заказы!$F$4:$F$1003,Заказы!$E$4:$E$1003,B22,Заказы!$O$4:$O$1003,"Выполнен"))</f>
        <v>0</v>
      </c>
      <c r="H22" s="31" t="n">
        <f aca="false">IF(B22="","",SUMIFS(Заказы!$F$4:$F$1003,Заказы!$E$4:$E$1003,B22,Заказы!$O$4:$O$1003,"Ожидает отправки")+SUMIFS(Заказы!$F$4:$F$1003,Заказы!$E$4:$E$1003,B22,Заказы!$O$4:$O$1003,"Отправлен (в пути)")+SUMIFS(Заказы!$F$4:$F$1003,Заказы!$E$4:$E$1003,B22,Заказы!$O$4:$O$1003,"Ожидает самовывоза"))</f>
        <v>0</v>
      </c>
      <c r="I22" s="31" t="n">
        <f aca="false">IF(B22="","",N(E22)-N(F22)-G22-H22)</f>
        <v>5</v>
      </c>
      <c r="J22" s="32" t="n">
        <f aca="false">IF(B22="","",SUMIFS(Заказы!$I$4:$I$1003,Заказы!$E$4:$E$1003,B22,Заказы!$O$4:$O$1003,"Выполнен"))</f>
        <v>0</v>
      </c>
      <c r="K22" s="32" t="n">
        <f aca="false">IF(B22="","",SUMIFS(Заказы!$M$4:$M$1003,Заказы!$E$4:$E$1003,B22,Заказы!$O$4:$O$1003,"Выполнен"))</f>
        <v>0</v>
      </c>
      <c r="L22" s="32" t="n">
        <f aca="false">IF(B22="","",SUMIFS(Заказы!$I$4:$I$1003,Заказы!$E$4:$E$1003,B22,Заказы!$O$4:$O$1003,"Ожидает отправки")+SUMIFS(Заказы!$I$4:$I$1003,Заказы!$E$4:$E$1003,B22,Заказы!$O$4:$O$1003,"Отправлен (в пути)")+SUMIFS(Заказы!$I$4:$I$1003,Заказы!$E$4:$E$1003,B22,Заказы!$O$4:$O$1003,"Ожидает самовывоза"))</f>
        <v>0</v>
      </c>
      <c r="M22" s="33" t="str">
        <f aca="false">IF(OR(B22="",N(J22)=0),"",K22/J22)</f>
        <v/>
      </c>
      <c r="N22" s="28"/>
    </row>
    <row r="23" customFormat="false" ht="15" hidden="false" customHeight="false" outlineLevel="0" collapsed="false">
      <c r="A23" s="27" t="n">
        <f aca="false">IF(B23="","",ROW()-3)</f>
        <v>20</v>
      </c>
      <c r="B23" s="28" t="s">
        <v>111</v>
      </c>
      <c r="C23" s="29" t="n">
        <v>7000</v>
      </c>
      <c r="D23" s="29" t="n">
        <v>12500</v>
      </c>
      <c r="E23" s="30" t="n">
        <v>2</v>
      </c>
      <c r="F23" s="30" t="n">
        <v>1</v>
      </c>
      <c r="G23" s="31" t="n">
        <f aca="false">IF(B23="","",SUMIFS(Заказы!$F$4:$F$1003,Заказы!$E$4:$E$1003,B23,Заказы!$O$4:$O$1003,"Выполнен"))</f>
        <v>0</v>
      </c>
      <c r="H23" s="31" t="n">
        <f aca="false">IF(B23="","",SUMIFS(Заказы!$F$4:$F$1003,Заказы!$E$4:$E$1003,B23,Заказы!$O$4:$O$1003,"Ожидает отправки")+SUMIFS(Заказы!$F$4:$F$1003,Заказы!$E$4:$E$1003,B23,Заказы!$O$4:$O$1003,"Отправлен (в пути)")+SUMIFS(Заказы!$F$4:$F$1003,Заказы!$E$4:$E$1003,B23,Заказы!$O$4:$O$1003,"Ожидает самовывоза"))</f>
        <v>1</v>
      </c>
      <c r="I23" s="31" t="n">
        <f aca="false">IF(B23="","",N(E23)-N(F23)-G23-H23)</f>
        <v>0</v>
      </c>
      <c r="J23" s="32" t="n">
        <f aca="false">IF(B23="","",SUMIFS(Заказы!$I$4:$I$1003,Заказы!$E$4:$E$1003,B23,Заказы!$O$4:$O$1003,"Выполнен"))</f>
        <v>0</v>
      </c>
      <c r="K23" s="32" t="n">
        <f aca="false">IF(B23="","",SUMIFS(Заказы!$M$4:$M$1003,Заказы!$E$4:$E$1003,B23,Заказы!$O$4:$O$1003,"Выполнен"))</f>
        <v>0</v>
      </c>
      <c r="L23" s="32" t="n">
        <f aca="false">IF(B23="","",SUMIFS(Заказы!$I$4:$I$1003,Заказы!$E$4:$E$1003,B23,Заказы!$O$4:$O$1003,"Ожидает отправки")+SUMIFS(Заказы!$I$4:$I$1003,Заказы!$E$4:$E$1003,B23,Заказы!$O$4:$O$1003,"Отправлен (в пути)")+SUMIFS(Заказы!$I$4:$I$1003,Заказы!$E$4:$E$1003,B23,Заказы!$O$4:$O$1003,"Ожидает самовывоза"))</f>
        <v>11500</v>
      </c>
      <c r="M23" s="33" t="str">
        <f aca="false">IF(OR(B23="",N(J23)=0),"",K23/J23)</f>
        <v/>
      </c>
      <c r="N23" s="28"/>
    </row>
    <row r="24" customFormat="false" ht="15" hidden="false" customHeight="false" outlineLevel="0" collapsed="false">
      <c r="A24" s="27" t="n">
        <f aca="false">IF(B24="","",ROW()-3)</f>
        <v>21</v>
      </c>
      <c r="B24" s="28" t="s">
        <v>112</v>
      </c>
      <c r="C24" s="29" t="n">
        <v>14500</v>
      </c>
      <c r="D24" s="29" t="n">
        <v>25500</v>
      </c>
      <c r="E24" s="30" t="n">
        <v>2</v>
      </c>
      <c r="F24" s="30" t="n">
        <v>2</v>
      </c>
      <c r="G24" s="31" t="n">
        <f aca="false">IF(B24="","",SUMIFS(Заказы!$F$4:$F$1003,Заказы!$E$4:$E$1003,B24,Заказы!$O$4:$O$1003,"Выполнен"))</f>
        <v>0</v>
      </c>
      <c r="H24" s="31" t="n">
        <f aca="false">IF(B24="","",SUMIFS(Заказы!$F$4:$F$1003,Заказы!$E$4:$E$1003,B24,Заказы!$O$4:$O$1003,"Ожидает отправки")+SUMIFS(Заказы!$F$4:$F$1003,Заказы!$E$4:$E$1003,B24,Заказы!$O$4:$O$1003,"Отправлен (в пути)")+SUMIFS(Заказы!$F$4:$F$1003,Заказы!$E$4:$E$1003,B24,Заказы!$O$4:$O$1003,"Ожидает самовывоза"))</f>
        <v>0</v>
      </c>
      <c r="I24" s="31" t="n">
        <f aca="false">IF(B24="","",N(E24)-N(F24)-G24-H24)</f>
        <v>0</v>
      </c>
      <c r="J24" s="32" t="n">
        <f aca="false">IF(B24="","",SUMIFS(Заказы!$I$4:$I$1003,Заказы!$E$4:$E$1003,B24,Заказы!$O$4:$O$1003,"Выполнен"))</f>
        <v>0</v>
      </c>
      <c r="K24" s="32" t="n">
        <f aca="false">IF(B24="","",SUMIFS(Заказы!$M$4:$M$1003,Заказы!$E$4:$E$1003,B24,Заказы!$O$4:$O$1003,"Выполнен"))</f>
        <v>0</v>
      </c>
      <c r="L24" s="32" t="n">
        <f aca="false">IF(B24="","",SUMIFS(Заказы!$I$4:$I$1003,Заказы!$E$4:$E$1003,B24,Заказы!$O$4:$O$1003,"Ожидает отправки")+SUMIFS(Заказы!$I$4:$I$1003,Заказы!$E$4:$E$1003,B24,Заказы!$O$4:$O$1003,"Отправлен (в пути)")+SUMIFS(Заказы!$I$4:$I$1003,Заказы!$E$4:$E$1003,B24,Заказы!$O$4:$O$1003,"Ожидает самовывоза"))</f>
        <v>0</v>
      </c>
      <c r="M24" s="33" t="str">
        <f aca="false">IF(OR(B24="",N(J24)=0),"",K24/J24)</f>
        <v/>
      </c>
      <c r="N24" s="28"/>
    </row>
    <row r="25" customFormat="false" ht="15" hidden="false" customHeight="false" outlineLevel="0" collapsed="false">
      <c r="A25" s="27" t="n">
        <f aca="false">IF(B25="","",ROW()-3)</f>
        <v>22</v>
      </c>
      <c r="B25" s="28" t="s">
        <v>113</v>
      </c>
      <c r="C25" s="29" t="n">
        <v>16500</v>
      </c>
      <c r="D25" s="29" t="n">
        <v>28000</v>
      </c>
      <c r="E25" s="30" t="n">
        <v>2</v>
      </c>
      <c r="F25" s="30" t="n">
        <v>2</v>
      </c>
      <c r="G25" s="31" t="n">
        <f aca="false">IF(B25="","",SUMIFS(Заказы!$F$4:$F$1003,Заказы!$E$4:$E$1003,B25,Заказы!$O$4:$O$1003,"Выполнен"))</f>
        <v>0</v>
      </c>
      <c r="H25" s="31" t="n">
        <f aca="false">IF(B25="","",SUMIFS(Заказы!$F$4:$F$1003,Заказы!$E$4:$E$1003,B25,Заказы!$O$4:$O$1003,"Ожидает отправки")+SUMIFS(Заказы!$F$4:$F$1003,Заказы!$E$4:$E$1003,B25,Заказы!$O$4:$O$1003,"Отправлен (в пути)")+SUMIFS(Заказы!$F$4:$F$1003,Заказы!$E$4:$E$1003,B25,Заказы!$O$4:$O$1003,"Ожидает самовывоза"))</f>
        <v>0</v>
      </c>
      <c r="I25" s="31" t="n">
        <f aca="false">IF(B25="","",N(E25)-N(F25)-G25-H25)</f>
        <v>0</v>
      </c>
      <c r="J25" s="32" t="n">
        <f aca="false">IF(B25="","",SUMIFS(Заказы!$I$4:$I$1003,Заказы!$E$4:$E$1003,B25,Заказы!$O$4:$O$1003,"Выполнен"))</f>
        <v>0</v>
      </c>
      <c r="K25" s="32" t="n">
        <f aca="false">IF(B25="","",SUMIFS(Заказы!$M$4:$M$1003,Заказы!$E$4:$E$1003,B25,Заказы!$O$4:$O$1003,"Выполнен"))</f>
        <v>0</v>
      </c>
      <c r="L25" s="32" t="n">
        <f aca="false">IF(B25="","",SUMIFS(Заказы!$I$4:$I$1003,Заказы!$E$4:$E$1003,B25,Заказы!$O$4:$O$1003,"Ожидает отправки")+SUMIFS(Заказы!$I$4:$I$1003,Заказы!$E$4:$E$1003,B25,Заказы!$O$4:$O$1003,"Отправлен (в пути)")+SUMIFS(Заказы!$I$4:$I$1003,Заказы!$E$4:$E$1003,B25,Заказы!$O$4:$O$1003,"Ожидает самовывоза"))</f>
        <v>0</v>
      </c>
      <c r="M25" s="33" t="str">
        <f aca="false">IF(OR(B25="",N(J25)=0),"",K25/J25)</f>
        <v/>
      </c>
      <c r="N25" s="28"/>
    </row>
    <row r="26" customFormat="false" ht="15" hidden="false" customHeight="false" outlineLevel="0" collapsed="false">
      <c r="A26" s="27" t="n">
        <f aca="false">IF(B26="","",ROW()-3)</f>
        <v>23</v>
      </c>
      <c r="B26" s="28" t="s">
        <v>114</v>
      </c>
      <c r="C26" s="29" t="n">
        <v>9500</v>
      </c>
      <c r="D26" s="29" t="n">
        <v>16500</v>
      </c>
      <c r="E26" s="30" t="n">
        <v>2</v>
      </c>
      <c r="F26" s="30" t="n">
        <v>1</v>
      </c>
      <c r="G26" s="31" t="n">
        <f aca="false">IF(B26="","",SUMIFS(Заказы!$F$4:$F$1003,Заказы!$E$4:$E$1003,B26,Заказы!$O$4:$O$1003,"Выполнен"))</f>
        <v>0</v>
      </c>
      <c r="H26" s="31" t="n">
        <f aca="false">IF(B26="","",SUMIFS(Заказы!$F$4:$F$1003,Заказы!$E$4:$E$1003,B26,Заказы!$O$4:$O$1003,"Ожидает отправки")+SUMIFS(Заказы!$F$4:$F$1003,Заказы!$E$4:$E$1003,B26,Заказы!$O$4:$O$1003,"Отправлен (в пути)")+SUMIFS(Заказы!$F$4:$F$1003,Заказы!$E$4:$E$1003,B26,Заказы!$O$4:$O$1003,"Ожидает самовывоза"))</f>
        <v>0</v>
      </c>
      <c r="I26" s="31" t="n">
        <f aca="false">IF(B26="","",N(E26)-N(F26)-G26-H26)</f>
        <v>1</v>
      </c>
      <c r="J26" s="32" t="n">
        <f aca="false">IF(B26="","",SUMIFS(Заказы!$I$4:$I$1003,Заказы!$E$4:$E$1003,B26,Заказы!$O$4:$O$1003,"Выполнен"))</f>
        <v>0</v>
      </c>
      <c r="K26" s="32" t="n">
        <f aca="false">IF(B26="","",SUMIFS(Заказы!$M$4:$M$1003,Заказы!$E$4:$E$1003,B26,Заказы!$O$4:$O$1003,"Выполнен"))</f>
        <v>0</v>
      </c>
      <c r="L26" s="32" t="n">
        <f aca="false">IF(B26="","",SUMIFS(Заказы!$I$4:$I$1003,Заказы!$E$4:$E$1003,B26,Заказы!$O$4:$O$1003,"Ожидает отправки")+SUMIFS(Заказы!$I$4:$I$1003,Заказы!$E$4:$E$1003,B26,Заказы!$O$4:$O$1003,"Отправлен (в пути)")+SUMIFS(Заказы!$I$4:$I$1003,Заказы!$E$4:$E$1003,B26,Заказы!$O$4:$O$1003,"Ожидает самовывоза"))</f>
        <v>0</v>
      </c>
      <c r="M26" s="33" t="str">
        <f aca="false">IF(OR(B26="",N(J26)=0),"",K26/J26)</f>
        <v/>
      </c>
      <c r="N26" s="28"/>
    </row>
    <row r="27" customFormat="false" ht="15" hidden="false" customHeight="false" outlineLevel="0" collapsed="false">
      <c r="A27" s="27" t="n">
        <f aca="false">IF(B27="","",ROW()-3)</f>
        <v>24</v>
      </c>
      <c r="B27" s="28" t="s">
        <v>115</v>
      </c>
      <c r="C27" s="29" t="n">
        <v>9500</v>
      </c>
      <c r="D27" s="29" t="n">
        <v>16500</v>
      </c>
      <c r="E27" s="30" t="n">
        <v>4</v>
      </c>
      <c r="F27" s="30" t="n">
        <v>2</v>
      </c>
      <c r="G27" s="31" t="n">
        <f aca="false">IF(B27="","",SUMIFS(Заказы!$F$4:$F$1003,Заказы!$E$4:$E$1003,B27,Заказы!$O$4:$O$1003,"Выполнен"))</f>
        <v>0</v>
      </c>
      <c r="H27" s="31" t="n">
        <f aca="false">IF(B27="","",SUMIFS(Заказы!$F$4:$F$1003,Заказы!$E$4:$E$1003,B27,Заказы!$O$4:$O$1003,"Ожидает отправки")+SUMIFS(Заказы!$F$4:$F$1003,Заказы!$E$4:$E$1003,B27,Заказы!$O$4:$O$1003,"Отправлен (в пути)")+SUMIFS(Заказы!$F$4:$F$1003,Заказы!$E$4:$E$1003,B27,Заказы!$O$4:$O$1003,"Ожидает самовывоза"))</f>
        <v>0</v>
      </c>
      <c r="I27" s="31" t="n">
        <f aca="false">IF(B27="","",N(E27)-N(F27)-G27-H27)</f>
        <v>2</v>
      </c>
      <c r="J27" s="32" t="n">
        <f aca="false">IF(B27="","",SUMIFS(Заказы!$I$4:$I$1003,Заказы!$E$4:$E$1003,B27,Заказы!$O$4:$O$1003,"Выполнен"))</f>
        <v>0</v>
      </c>
      <c r="K27" s="32" t="n">
        <f aca="false">IF(B27="","",SUMIFS(Заказы!$M$4:$M$1003,Заказы!$E$4:$E$1003,B27,Заказы!$O$4:$O$1003,"Выполнен"))</f>
        <v>0</v>
      </c>
      <c r="L27" s="32" t="n">
        <f aca="false">IF(B27="","",SUMIFS(Заказы!$I$4:$I$1003,Заказы!$E$4:$E$1003,B27,Заказы!$O$4:$O$1003,"Ожидает отправки")+SUMIFS(Заказы!$I$4:$I$1003,Заказы!$E$4:$E$1003,B27,Заказы!$O$4:$O$1003,"Отправлен (в пути)")+SUMIFS(Заказы!$I$4:$I$1003,Заказы!$E$4:$E$1003,B27,Заказы!$O$4:$O$1003,"Ожидает самовывоза"))</f>
        <v>0</v>
      </c>
      <c r="M27" s="33" t="str">
        <f aca="false">IF(OR(B27="",N(J27)=0),"",K27/J27)</f>
        <v/>
      </c>
      <c r="N27" s="28"/>
    </row>
    <row r="28" customFormat="false" ht="15" hidden="false" customHeight="false" outlineLevel="0" collapsed="false">
      <c r="A28" s="27" t="n">
        <f aca="false">IF(B28="","",ROW()-3)</f>
        <v>25</v>
      </c>
      <c r="B28" s="28" t="s">
        <v>116</v>
      </c>
      <c r="C28" s="29" t="n">
        <v>15000</v>
      </c>
      <c r="D28" s="29" t="n">
        <v>25000</v>
      </c>
      <c r="E28" s="30" t="n">
        <v>2</v>
      </c>
      <c r="F28" s="30" t="n">
        <v>2</v>
      </c>
      <c r="G28" s="31" t="n">
        <f aca="false">IF(B28="","",SUMIFS(Заказы!$F$4:$F$1003,Заказы!$E$4:$E$1003,B28,Заказы!$O$4:$O$1003,"Выполнен"))</f>
        <v>0</v>
      </c>
      <c r="H28" s="31" t="n">
        <f aca="false">IF(B28="","",SUMIFS(Заказы!$F$4:$F$1003,Заказы!$E$4:$E$1003,B28,Заказы!$O$4:$O$1003,"Ожидает отправки")+SUMIFS(Заказы!$F$4:$F$1003,Заказы!$E$4:$E$1003,B28,Заказы!$O$4:$O$1003,"Отправлен (в пути)")+SUMIFS(Заказы!$F$4:$F$1003,Заказы!$E$4:$E$1003,B28,Заказы!$O$4:$O$1003,"Ожидает самовывоза"))</f>
        <v>0</v>
      </c>
      <c r="I28" s="31" t="n">
        <f aca="false">IF(B28="","",N(E28)-N(F28)-G28-H28)</f>
        <v>0</v>
      </c>
      <c r="J28" s="32" t="n">
        <f aca="false">IF(B28="","",SUMIFS(Заказы!$I$4:$I$1003,Заказы!$E$4:$E$1003,B28,Заказы!$O$4:$O$1003,"Выполнен"))</f>
        <v>0</v>
      </c>
      <c r="K28" s="32" t="n">
        <f aca="false">IF(B28="","",SUMIFS(Заказы!$M$4:$M$1003,Заказы!$E$4:$E$1003,B28,Заказы!$O$4:$O$1003,"Выполнен"))</f>
        <v>0</v>
      </c>
      <c r="L28" s="32" t="n">
        <f aca="false">IF(B28="","",SUMIFS(Заказы!$I$4:$I$1003,Заказы!$E$4:$E$1003,B28,Заказы!$O$4:$O$1003,"Ожидает отправки")+SUMIFS(Заказы!$I$4:$I$1003,Заказы!$E$4:$E$1003,B28,Заказы!$O$4:$O$1003,"Отправлен (в пути)")+SUMIFS(Заказы!$I$4:$I$1003,Заказы!$E$4:$E$1003,B28,Заказы!$O$4:$O$1003,"Ожидает самовывоза"))</f>
        <v>0</v>
      </c>
      <c r="M28" s="33" t="str">
        <f aca="false">IF(OR(B28="",N(J28)=0),"",K28/J28)</f>
        <v/>
      </c>
      <c r="N28" s="28"/>
    </row>
    <row r="29" customFormat="false" ht="15" hidden="false" customHeight="false" outlineLevel="0" collapsed="false">
      <c r="A29" s="27" t="n">
        <f aca="false">IF(B29="","",ROW()-3)</f>
        <v>26</v>
      </c>
      <c r="B29" s="28" t="s">
        <v>117</v>
      </c>
      <c r="C29" s="29" t="n">
        <v>6500</v>
      </c>
      <c r="D29" s="29" t="n">
        <v>12500</v>
      </c>
      <c r="E29" s="30" t="n">
        <v>2</v>
      </c>
      <c r="F29" s="30" t="n">
        <v>2</v>
      </c>
      <c r="G29" s="31" t="n">
        <f aca="false">IF(B29="","",SUMIFS(Заказы!$F$4:$F$1003,Заказы!$E$4:$E$1003,B29,Заказы!$O$4:$O$1003,"Выполнен"))</f>
        <v>0</v>
      </c>
      <c r="H29" s="31" t="n">
        <f aca="false">IF(B29="","",SUMIFS(Заказы!$F$4:$F$1003,Заказы!$E$4:$E$1003,B29,Заказы!$O$4:$O$1003,"Ожидает отправки")+SUMIFS(Заказы!$F$4:$F$1003,Заказы!$E$4:$E$1003,B29,Заказы!$O$4:$O$1003,"Отправлен (в пути)")+SUMIFS(Заказы!$F$4:$F$1003,Заказы!$E$4:$E$1003,B29,Заказы!$O$4:$O$1003,"Ожидает самовывоза"))</f>
        <v>0</v>
      </c>
      <c r="I29" s="31" t="n">
        <f aca="false">IF(B29="","",N(E29)-N(F29)-G29-H29)</f>
        <v>0</v>
      </c>
      <c r="J29" s="32" t="n">
        <f aca="false">IF(B29="","",SUMIFS(Заказы!$I$4:$I$1003,Заказы!$E$4:$E$1003,B29,Заказы!$O$4:$O$1003,"Выполнен"))</f>
        <v>0</v>
      </c>
      <c r="K29" s="32" t="n">
        <f aca="false">IF(B29="","",SUMIFS(Заказы!$M$4:$M$1003,Заказы!$E$4:$E$1003,B29,Заказы!$O$4:$O$1003,"Выполнен"))</f>
        <v>0</v>
      </c>
      <c r="L29" s="32" t="n">
        <f aca="false">IF(B29="","",SUMIFS(Заказы!$I$4:$I$1003,Заказы!$E$4:$E$1003,B29,Заказы!$O$4:$O$1003,"Ожидает отправки")+SUMIFS(Заказы!$I$4:$I$1003,Заказы!$E$4:$E$1003,B29,Заказы!$O$4:$O$1003,"Отправлен (в пути)")+SUMIFS(Заказы!$I$4:$I$1003,Заказы!$E$4:$E$1003,B29,Заказы!$O$4:$O$1003,"Ожидает самовывоза"))</f>
        <v>0</v>
      </c>
      <c r="M29" s="33" t="str">
        <f aca="false">IF(OR(B29="",N(J29)=0),"",K29/J29)</f>
        <v/>
      </c>
      <c r="N29" s="28"/>
    </row>
    <row r="30" customFormat="false" ht="15" hidden="false" customHeight="false" outlineLevel="0" collapsed="false">
      <c r="A30" s="27" t="str">
        <f aca="false">IF(B30="","",ROW()-3)</f>
        <v/>
      </c>
      <c r="B30" s="28"/>
      <c r="C30" s="29"/>
      <c r="D30" s="29"/>
      <c r="E30" s="30"/>
      <c r="F30" s="30"/>
      <c r="G30" s="31" t="str">
        <f aca="false">IF(B30="","",SUMIFS(Заказы!$F$4:$F$1003,Заказы!$E$4:$E$1003,B30,Заказы!$O$4:$O$1003,"Выполнен"))</f>
        <v/>
      </c>
      <c r="H30" s="31" t="str">
        <f aca="false">IF(B30="","",SUMIFS(Заказы!$F$4:$F$1003,Заказы!$E$4:$E$1003,B30,Заказы!$O$4:$O$1003,"Ожидает отправки")+SUMIFS(Заказы!$F$4:$F$1003,Заказы!$E$4:$E$1003,B30,Заказы!$O$4:$O$1003,"Отправлен (в пути)")+SUMIFS(Заказы!$F$4:$F$1003,Заказы!$E$4:$E$1003,B30,Заказы!$O$4:$O$1003,"Ожидает самовывоза"))</f>
        <v/>
      </c>
      <c r="I30" s="31" t="str">
        <f aca="false">IF(B30="","",N(E30)-N(F30)-G30-H30)</f>
        <v/>
      </c>
      <c r="J30" s="32" t="str">
        <f aca="false">IF(B30="","",SUMIFS(Заказы!$I$4:$I$1003,Заказы!$E$4:$E$1003,B30,Заказы!$O$4:$O$1003,"Выполнен"))</f>
        <v/>
      </c>
      <c r="K30" s="32" t="str">
        <f aca="false">IF(B30="","",SUMIFS(Заказы!$M$4:$M$1003,Заказы!$E$4:$E$1003,B30,Заказы!$O$4:$O$1003,"Выполнен"))</f>
        <v/>
      </c>
      <c r="L30" s="32" t="str">
        <f aca="false">IF(B30="","",SUMIFS(Заказы!$I$4:$I$1003,Заказы!$E$4:$E$1003,B30,Заказы!$O$4:$O$1003,"Ожидает отправки")+SUMIFS(Заказы!$I$4:$I$1003,Заказы!$E$4:$E$1003,B30,Заказы!$O$4:$O$1003,"Отправлен (в пути)")+SUMIFS(Заказы!$I$4:$I$1003,Заказы!$E$4:$E$1003,B30,Заказы!$O$4:$O$1003,"Ожидает самовывоза"))</f>
        <v/>
      </c>
      <c r="M30" s="33" t="str">
        <f aca="false">IF(OR(B30="",N(J30)=0),"",K30/J30)</f>
        <v/>
      </c>
      <c r="N30" s="28"/>
    </row>
    <row r="31" customFormat="false" ht="15" hidden="false" customHeight="false" outlineLevel="0" collapsed="false">
      <c r="A31" s="27" t="str">
        <f aca="false">IF(B31="","",ROW()-3)</f>
        <v/>
      </c>
      <c r="B31" s="28"/>
      <c r="C31" s="29"/>
      <c r="D31" s="29"/>
      <c r="E31" s="30"/>
      <c r="F31" s="30"/>
      <c r="G31" s="31" t="str">
        <f aca="false">IF(B31="","",SUMIFS(Заказы!$F$4:$F$1003,Заказы!$E$4:$E$1003,B31,Заказы!$O$4:$O$1003,"Выполнен"))</f>
        <v/>
      </c>
      <c r="H31" s="31" t="str">
        <f aca="false">IF(B31="","",SUMIFS(Заказы!$F$4:$F$1003,Заказы!$E$4:$E$1003,B31,Заказы!$O$4:$O$1003,"Ожидает отправки")+SUMIFS(Заказы!$F$4:$F$1003,Заказы!$E$4:$E$1003,B31,Заказы!$O$4:$O$1003,"Отправлен (в пути)")+SUMIFS(Заказы!$F$4:$F$1003,Заказы!$E$4:$E$1003,B31,Заказы!$O$4:$O$1003,"Ожидает самовывоза"))</f>
        <v/>
      </c>
      <c r="I31" s="31" t="str">
        <f aca="false">IF(B31="","",N(E31)-N(F31)-G31-H31)</f>
        <v/>
      </c>
      <c r="J31" s="32" t="str">
        <f aca="false">IF(B31="","",SUMIFS(Заказы!$I$4:$I$1003,Заказы!$E$4:$E$1003,B31,Заказы!$O$4:$O$1003,"Выполнен"))</f>
        <v/>
      </c>
      <c r="K31" s="32" t="str">
        <f aca="false">IF(B31="","",SUMIFS(Заказы!$M$4:$M$1003,Заказы!$E$4:$E$1003,B31,Заказы!$O$4:$O$1003,"Выполнен"))</f>
        <v/>
      </c>
      <c r="L31" s="32" t="str">
        <f aca="false">IF(B31="","",SUMIFS(Заказы!$I$4:$I$1003,Заказы!$E$4:$E$1003,B31,Заказы!$O$4:$O$1003,"Ожидает отправки")+SUMIFS(Заказы!$I$4:$I$1003,Заказы!$E$4:$E$1003,B31,Заказы!$O$4:$O$1003,"Отправлен (в пути)")+SUMIFS(Заказы!$I$4:$I$1003,Заказы!$E$4:$E$1003,B31,Заказы!$O$4:$O$1003,"Ожидает самовывоза"))</f>
        <v/>
      </c>
      <c r="M31" s="33" t="str">
        <f aca="false">IF(OR(B31="",N(J31)=0),"",K31/J31)</f>
        <v/>
      </c>
      <c r="N31" s="28"/>
    </row>
    <row r="32" customFormat="false" ht="15" hidden="false" customHeight="false" outlineLevel="0" collapsed="false">
      <c r="A32" s="27" t="str">
        <f aca="false">IF(B32="","",ROW()-3)</f>
        <v/>
      </c>
      <c r="B32" s="28"/>
      <c r="C32" s="29"/>
      <c r="D32" s="29"/>
      <c r="E32" s="30"/>
      <c r="F32" s="30"/>
      <c r="G32" s="31" t="str">
        <f aca="false">IF(B32="","",SUMIFS(Заказы!$F$4:$F$1003,Заказы!$E$4:$E$1003,B32,Заказы!$O$4:$O$1003,"Выполнен"))</f>
        <v/>
      </c>
      <c r="H32" s="31" t="str">
        <f aca="false">IF(B32="","",SUMIFS(Заказы!$F$4:$F$1003,Заказы!$E$4:$E$1003,B32,Заказы!$O$4:$O$1003,"Ожидает отправки")+SUMIFS(Заказы!$F$4:$F$1003,Заказы!$E$4:$E$1003,B32,Заказы!$O$4:$O$1003,"Отправлен (в пути)")+SUMIFS(Заказы!$F$4:$F$1003,Заказы!$E$4:$E$1003,B32,Заказы!$O$4:$O$1003,"Ожидает самовывоза"))</f>
        <v/>
      </c>
      <c r="I32" s="31" t="str">
        <f aca="false">IF(B32="","",N(E32)-N(F32)-G32-H32)</f>
        <v/>
      </c>
      <c r="J32" s="32" t="str">
        <f aca="false">IF(B32="","",SUMIFS(Заказы!$I$4:$I$1003,Заказы!$E$4:$E$1003,B32,Заказы!$O$4:$O$1003,"Выполнен"))</f>
        <v/>
      </c>
      <c r="K32" s="32" t="str">
        <f aca="false">IF(B32="","",SUMIFS(Заказы!$M$4:$M$1003,Заказы!$E$4:$E$1003,B32,Заказы!$O$4:$O$1003,"Выполнен"))</f>
        <v/>
      </c>
      <c r="L32" s="32" t="str">
        <f aca="false">IF(B32="","",SUMIFS(Заказы!$I$4:$I$1003,Заказы!$E$4:$E$1003,B32,Заказы!$O$4:$O$1003,"Ожидает отправки")+SUMIFS(Заказы!$I$4:$I$1003,Заказы!$E$4:$E$1003,B32,Заказы!$O$4:$O$1003,"Отправлен (в пути)")+SUMIFS(Заказы!$I$4:$I$1003,Заказы!$E$4:$E$1003,B32,Заказы!$O$4:$O$1003,"Ожидает самовывоза"))</f>
        <v/>
      </c>
      <c r="M32" s="33" t="str">
        <f aca="false">IF(OR(B32="",N(J32)=0),"",K32/J32)</f>
        <v/>
      </c>
      <c r="N32" s="28"/>
    </row>
    <row r="33" customFormat="false" ht="15" hidden="false" customHeight="false" outlineLevel="0" collapsed="false">
      <c r="A33" s="27" t="str">
        <f aca="false">IF(B33="","",ROW()-3)</f>
        <v/>
      </c>
      <c r="B33" s="28"/>
      <c r="C33" s="29"/>
      <c r="D33" s="29"/>
      <c r="E33" s="30"/>
      <c r="F33" s="30"/>
      <c r="G33" s="31" t="str">
        <f aca="false">IF(B33="","",SUMIFS(Заказы!$F$4:$F$1003,Заказы!$E$4:$E$1003,B33,Заказы!$O$4:$O$1003,"Выполнен"))</f>
        <v/>
      </c>
      <c r="H33" s="31" t="str">
        <f aca="false">IF(B33="","",SUMIFS(Заказы!$F$4:$F$1003,Заказы!$E$4:$E$1003,B33,Заказы!$O$4:$O$1003,"Ожидает отправки")+SUMIFS(Заказы!$F$4:$F$1003,Заказы!$E$4:$E$1003,B33,Заказы!$O$4:$O$1003,"Отправлен (в пути)")+SUMIFS(Заказы!$F$4:$F$1003,Заказы!$E$4:$E$1003,B33,Заказы!$O$4:$O$1003,"Ожидает самовывоза"))</f>
        <v/>
      </c>
      <c r="I33" s="31" t="str">
        <f aca="false">IF(B33="","",N(E33)-N(F33)-G33-H33)</f>
        <v/>
      </c>
      <c r="J33" s="32" t="str">
        <f aca="false">IF(B33="","",SUMIFS(Заказы!$I$4:$I$1003,Заказы!$E$4:$E$1003,B33,Заказы!$O$4:$O$1003,"Выполнен"))</f>
        <v/>
      </c>
      <c r="K33" s="32" t="str">
        <f aca="false">IF(B33="","",SUMIFS(Заказы!$M$4:$M$1003,Заказы!$E$4:$E$1003,B33,Заказы!$O$4:$O$1003,"Выполнен"))</f>
        <v/>
      </c>
      <c r="L33" s="32" t="str">
        <f aca="false">IF(B33="","",SUMIFS(Заказы!$I$4:$I$1003,Заказы!$E$4:$E$1003,B33,Заказы!$O$4:$O$1003,"Ожидает отправки")+SUMIFS(Заказы!$I$4:$I$1003,Заказы!$E$4:$E$1003,B33,Заказы!$O$4:$O$1003,"Отправлен (в пути)")+SUMIFS(Заказы!$I$4:$I$1003,Заказы!$E$4:$E$1003,B33,Заказы!$O$4:$O$1003,"Ожидает самовывоза"))</f>
        <v/>
      </c>
      <c r="M33" s="33" t="str">
        <f aca="false">IF(OR(B33="",N(J33)=0),"",K33/J33)</f>
        <v/>
      </c>
      <c r="N33" s="28"/>
    </row>
    <row r="34" customFormat="false" ht="15" hidden="false" customHeight="false" outlineLevel="0" collapsed="false">
      <c r="A34" s="27" t="str">
        <f aca="false">IF(B34="","",ROW()-3)</f>
        <v/>
      </c>
      <c r="B34" s="28"/>
      <c r="C34" s="29"/>
      <c r="D34" s="29"/>
      <c r="E34" s="30"/>
      <c r="F34" s="30"/>
      <c r="G34" s="31" t="str">
        <f aca="false">IF(B34="","",SUMIFS(Заказы!$F$4:$F$1003,Заказы!$E$4:$E$1003,B34,Заказы!$O$4:$O$1003,"Выполнен"))</f>
        <v/>
      </c>
      <c r="H34" s="31" t="str">
        <f aca="false">IF(B34="","",SUMIFS(Заказы!$F$4:$F$1003,Заказы!$E$4:$E$1003,B34,Заказы!$O$4:$O$1003,"Ожидает отправки")+SUMIFS(Заказы!$F$4:$F$1003,Заказы!$E$4:$E$1003,B34,Заказы!$O$4:$O$1003,"Отправлен (в пути)")+SUMIFS(Заказы!$F$4:$F$1003,Заказы!$E$4:$E$1003,B34,Заказы!$O$4:$O$1003,"Ожидает самовывоза"))</f>
        <v/>
      </c>
      <c r="I34" s="31" t="str">
        <f aca="false">IF(B34="","",N(E34)-N(F34)-G34-H34)</f>
        <v/>
      </c>
      <c r="J34" s="32" t="str">
        <f aca="false">IF(B34="","",SUMIFS(Заказы!$I$4:$I$1003,Заказы!$E$4:$E$1003,B34,Заказы!$O$4:$O$1003,"Выполнен"))</f>
        <v/>
      </c>
      <c r="K34" s="32" t="str">
        <f aca="false">IF(B34="","",SUMIFS(Заказы!$M$4:$M$1003,Заказы!$E$4:$E$1003,B34,Заказы!$O$4:$O$1003,"Выполнен"))</f>
        <v/>
      </c>
      <c r="L34" s="32" t="str">
        <f aca="false">IF(B34="","",SUMIFS(Заказы!$I$4:$I$1003,Заказы!$E$4:$E$1003,B34,Заказы!$O$4:$O$1003,"Ожидает отправки")+SUMIFS(Заказы!$I$4:$I$1003,Заказы!$E$4:$E$1003,B34,Заказы!$O$4:$O$1003,"Отправлен (в пути)")+SUMIFS(Заказы!$I$4:$I$1003,Заказы!$E$4:$E$1003,B34,Заказы!$O$4:$O$1003,"Ожидает самовывоза"))</f>
        <v/>
      </c>
      <c r="M34" s="33" t="str">
        <f aca="false">IF(OR(B34="",N(J34)=0),"",K34/J34)</f>
        <v/>
      </c>
      <c r="N34" s="28"/>
    </row>
    <row r="35" customFormat="false" ht="15" hidden="false" customHeight="false" outlineLevel="0" collapsed="false">
      <c r="A35" s="27" t="str">
        <f aca="false">IF(B35="","",ROW()-3)</f>
        <v/>
      </c>
      <c r="B35" s="28"/>
      <c r="C35" s="29"/>
      <c r="D35" s="29"/>
      <c r="E35" s="30"/>
      <c r="F35" s="30"/>
      <c r="G35" s="31" t="str">
        <f aca="false">IF(B35="","",SUMIFS(Заказы!$F$4:$F$1003,Заказы!$E$4:$E$1003,B35,Заказы!$O$4:$O$1003,"Выполнен"))</f>
        <v/>
      </c>
      <c r="H35" s="31" t="str">
        <f aca="false">IF(B35="","",SUMIFS(Заказы!$F$4:$F$1003,Заказы!$E$4:$E$1003,B35,Заказы!$O$4:$O$1003,"Ожидает отправки")+SUMIFS(Заказы!$F$4:$F$1003,Заказы!$E$4:$E$1003,B35,Заказы!$O$4:$O$1003,"Отправлен (в пути)")+SUMIFS(Заказы!$F$4:$F$1003,Заказы!$E$4:$E$1003,B35,Заказы!$O$4:$O$1003,"Ожидает самовывоза"))</f>
        <v/>
      </c>
      <c r="I35" s="31" t="str">
        <f aca="false">IF(B35="","",N(E35)-N(F35)-G35-H35)</f>
        <v/>
      </c>
      <c r="J35" s="32" t="str">
        <f aca="false">IF(B35="","",SUMIFS(Заказы!$I$4:$I$1003,Заказы!$E$4:$E$1003,B35,Заказы!$O$4:$O$1003,"Выполнен"))</f>
        <v/>
      </c>
      <c r="K35" s="32" t="str">
        <f aca="false">IF(B35="","",SUMIFS(Заказы!$M$4:$M$1003,Заказы!$E$4:$E$1003,B35,Заказы!$O$4:$O$1003,"Выполнен"))</f>
        <v/>
      </c>
      <c r="L35" s="32" t="str">
        <f aca="false">IF(B35="","",SUMIFS(Заказы!$I$4:$I$1003,Заказы!$E$4:$E$1003,B35,Заказы!$O$4:$O$1003,"Ожидает отправки")+SUMIFS(Заказы!$I$4:$I$1003,Заказы!$E$4:$E$1003,B35,Заказы!$O$4:$O$1003,"Отправлен (в пути)")+SUMIFS(Заказы!$I$4:$I$1003,Заказы!$E$4:$E$1003,B35,Заказы!$O$4:$O$1003,"Ожидает самовывоза"))</f>
        <v/>
      </c>
      <c r="M35" s="33" t="str">
        <f aca="false">IF(OR(B35="",N(J35)=0),"",K35/J35)</f>
        <v/>
      </c>
      <c r="N35" s="28"/>
    </row>
    <row r="36" customFormat="false" ht="15" hidden="false" customHeight="false" outlineLevel="0" collapsed="false">
      <c r="A36" s="27" t="str">
        <f aca="false">IF(B36="","",ROW()-3)</f>
        <v/>
      </c>
      <c r="B36" s="28"/>
      <c r="C36" s="29"/>
      <c r="D36" s="29"/>
      <c r="E36" s="30"/>
      <c r="F36" s="30"/>
      <c r="G36" s="31" t="str">
        <f aca="false">IF(B36="","",SUMIFS(Заказы!$F$4:$F$1003,Заказы!$E$4:$E$1003,B36,Заказы!$O$4:$O$1003,"Выполнен"))</f>
        <v/>
      </c>
      <c r="H36" s="31" t="str">
        <f aca="false">IF(B36="","",SUMIFS(Заказы!$F$4:$F$1003,Заказы!$E$4:$E$1003,B36,Заказы!$O$4:$O$1003,"Ожидает отправки")+SUMIFS(Заказы!$F$4:$F$1003,Заказы!$E$4:$E$1003,B36,Заказы!$O$4:$O$1003,"Отправлен (в пути)")+SUMIFS(Заказы!$F$4:$F$1003,Заказы!$E$4:$E$1003,B36,Заказы!$O$4:$O$1003,"Ожидает самовывоза"))</f>
        <v/>
      </c>
      <c r="I36" s="31" t="str">
        <f aca="false">IF(B36="","",N(E36)-N(F36)-G36-H36)</f>
        <v/>
      </c>
      <c r="J36" s="32" t="str">
        <f aca="false">IF(B36="","",SUMIFS(Заказы!$I$4:$I$1003,Заказы!$E$4:$E$1003,B36,Заказы!$O$4:$O$1003,"Выполнен"))</f>
        <v/>
      </c>
      <c r="K36" s="32" t="str">
        <f aca="false">IF(B36="","",SUMIFS(Заказы!$M$4:$M$1003,Заказы!$E$4:$E$1003,B36,Заказы!$O$4:$O$1003,"Выполнен"))</f>
        <v/>
      </c>
      <c r="L36" s="32" t="str">
        <f aca="false">IF(B36="","",SUMIFS(Заказы!$I$4:$I$1003,Заказы!$E$4:$E$1003,B36,Заказы!$O$4:$O$1003,"Ожидает отправки")+SUMIFS(Заказы!$I$4:$I$1003,Заказы!$E$4:$E$1003,B36,Заказы!$O$4:$O$1003,"Отправлен (в пути)")+SUMIFS(Заказы!$I$4:$I$1003,Заказы!$E$4:$E$1003,B36,Заказы!$O$4:$O$1003,"Ожидает самовывоза"))</f>
        <v/>
      </c>
      <c r="M36" s="33" t="str">
        <f aca="false">IF(OR(B36="",N(J36)=0),"",K36/J36)</f>
        <v/>
      </c>
      <c r="N36" s="28"/>
    </row>
    <row r="37" customFormat="false" ht="15" hidden="false" customHeight="false" outlineLevel="0" collapsed="false">
      <c r="A37" s="27" t="str">
        <f aca="false">IF(B37="","",ROW()-3)</f>
        <v/>
      </c>
      <c r="B37" s="28"/>
      <c r="C37" s="29"/>
      <c r="D37" s="29"/>
      <c r="E37" s="30"/>
      <c r="F37" s="30"/>
      <c r="G37" s="31" t="str">
        <f aca="false">IF(B37="","",SUMIFS(Заказы!$F$4:$F$1003,Заказы!$E$4:$E$1003,B37,Заказы!$O$4:$O$1003,"Выполнен"))</f>
        <v/>
      </c>
      <c r="H37" s="31" t="str">
        <f aca="false">IF(B37="","",SUMIFS(Заказы!$F$4:$F$1003,Заказы!$E$4:$E$1003,B37,Заказы!$O$4:$O$1003,"Ожидает отправки")+SUMIFS(Заказы!$F$4:$F$1003,Заказы!$E$4:$E$1003,B37,Заказы!$O$4:$O$1003,"Отправлен (в пути)")+SUMIFS(Заказы!$F$4:$F$1003,Заказы!$E$4:$E$1003,B37,Заказы!$O$4:$O$1003,"Ожидает самовывоза"))</f>
        <v/>
      </c>
      <c r="I37" s="31" t="str">
        <f aca="false">IF(B37="","",N(E37)-N(F37)-G37-H37)</f>
        <v/>
      </c>
      <c r="J37" s="32" t="str">
        <f aca="false">IF(B37="","",SUMIFS(Заказы!$I$4:$I$1003,Заказы!$E$4:$E$1003,B37,Заказы!$O$4:$O$1003,"Выполнен"))</f>
        <v/>
      </c>
      <c r="K37" s="32" t="str">
        <f aca="false">IF(B37="","",SUMIFS(Заказы!$M$4:$M$1003,Заказы!$E$4:$E$1003,B37,Заказы!$O$4:$O$1003,"Выполнен"))</f>
        <v/>
      </c>
      <c r="L37" s="32" t="str">
        <f aca="false">IF(B37="","",SUMIFS(Заказы!$I$4:$I$1003,Заказы!$E$4:$E$1003,B37,Заказы!$O$4:$O$1003,"Ожидает отправки")+SUMIFS(Заказы!$I$4:$I$1003,Заказы!$E$4:$E$1003,B37,Заказы!$O$4:$O$1003,"Отправлен (в пути)")+SUMIFS(Заказы!$I$4:$I$1003,Заказы!$E$4:$E$1003,B37,Заказы!$O$4:$O$1003,"Ожидает самовывоза"))</f>
        <v/>
      </c>
      <c r="M37" s="33" t="str">
        <f aca="false">IF(OR(B37="",N(J37)=0),"",K37/J37)</f>
        <v/>
      </c>
      <c r="N37" s="28"/>
    </row>
    <row r="38" customFormat="false" ht="15" hidden="false" customHeight="false" outlineLevel="0" collapsed="false">
      <c r="A38" s="27" t="str">
        <f aca="false">IF(B38="","",ROW()-3)</f>
        <v/>
      </c>
      <c r="B38" s="28"/>
      <c r="C38" s="29"/>
      <c r="D38" s="29"/>
      <c r="E38" s="30"/>
      <c r="F38" s="30"/>
      <c r="G38" s="31" t="str">
        <f aca="false">IF(B38="","",SUMIFS(Заказы!$F$4:$F$1003,Заказы!$E$4:$E$1003,B38,Заказы!$O$4:$O$1003,"Выполнен"))</f>
        <v/>
      </c>
      <c r="H38" s="31" t="str">
        <f aca="false">IF(B38="","",SUMIFS(Заказы!$F$4:$F$1003,Заказы!$E$4:$E$1003,B38,Заказы!$O$4:$O$1003,"Ожидает отправки")+SUMIFS(Заказы!$F$4:$F$1003,Заказы!$E$4:$E$1003,B38,Заказы!$O$4:$O$1003,"Отправлен (в пути)")+SUMIFS(Заказы!$F$4:$F$1003,Заказы!$E$4:$E$1003,B38,Заказы!$O$4:$O$1003,"Ожидает самовывоза"))</f>
        <v/>
      </c>
      <c r="I38" s="31" t="str">
        <f aca="false">IF(B38="","",N(E38)-N(F38)-G38-H38)</f>
        <v/>
      </c>
      <c r="J38" s="32" t="str">
        <f aca="false">IF(B38="","",SUMIFS(Заказы!$I$4:$I$1003,Заказы!$E$4:$E$1003,B38,Заказы!$O$4:$O$1003,"Выполнен"))</f>
        <v/>
      </c>
      <c r="K38" s="32" t="str">
        <f aca="false">IF(B38="","",SUMIFS(Заказы!$M$4:$M$1003,Заказы!$E$4:$E$1003,B38,Заказы!$O$4:$O$1003,"Выполнен"))</f>
        <v/>
      </c>
      <c r="L38" s="32" t="str">
        <f aca="false">IF(B38="","",SUMIFS(Заказы!$I$4:$I$1003,Заказы!$E$4:$E$1003,B38,Заказы!$O$4:$O$1003,"Ожидает отправки")+SUMIFS(Заказы!$I$4:$I$1003,Заказы!$E$4:$E$1003,B38,Заказы!$O$4:$O$1003,"Отправлен (в пути)")+SUMIFS(Заказы!$I$4:$I$1003,Заказы!$E$4:$E$1003,B38,Заказы!$O$4:$O$1003,"Ожидает самовывоза"))</f>
        <v/>
      </c>
      <c r="M38" s="33" t="str">
        <f aca="false">IF(OR(B38="",N(J38)=0),"",K38/J38)</f>
        <v/>
      </c>
      <c r="N38" s="28"/>
    </row>
    <row r="39" customFormat="false" ht="15" hidden="false" customHeight="false" outlineLevel="0" collapsed="false">
      <c r="A39" s="27" t="str">
        <f aca="false">IF(B39="","",ROW()-3)</f>
        <v/>
      </c>
      <c r="B39" s="28"/>
      <c r="C39" s="29"/>
      <c r="D39" s="29"/>
      <c r="E39" s="30"/>
      <c r="F39" s="30"/>
      <c r="G39" s="31" t="str">
        <f aca="false">IF(B39="","",SUMIFS(Заказы!$F$4:$F$1003,Заказы!$E$4:$E$1003,B39,Заказы!$O$4:$O$1003,"Выполнен"))</f>
        <v/>
      </c>
      <c r="H39" s="31" t="str">
        <f aca="false">IF(B39="","",SUMIFS(Заказы!$F$4:$F$1003,Заказы!$E$4:$E$1003,B39,Заказы!$O$4:$O$1003,"Ожидает отправки")+SUMIFS(Заказы!$F$4:$F$1003,Заказы!$E$4:$E$1003,B39,Заказы!$O$4:$O$1003,"Отправлен (в пути)")+SUMIFS(Заказы!$F$4:$F$1003,Заказы!$E$4:$E$1003,B39,Заказы!$O$4:$O$1003,"Ожидает самовывоза"))</f>
        <v/>
      </c>
      <c r="I39" s="31" t="str">
        <f aca="false">IF(B39="","",N(E39)-N(F39)-G39-H39)</f>
        <v/>
      </c>
      <c r="J39" s="32" t="str">
        <f aca="false">IF(B39="","",SUMIFS(Заказы!$I$4:$I$1003,Заказы!$E$4:$E$1003,B39,Заказы!$O$4:$O$1003,"Выполнен"))</f>
        <v/>
      </c>
      <c r="K39" s="32" t="str">
        <f aca="false">IF(B39="","",SUMIFS(Заказы!$M$4:$M$1003,Заказы!$E$4:$E$1003,B39,Заказы!$O$4:$O$1003,"Выполнен"))</f>
        <v/>
      </c>
      <c r="L39" s="32" t="str">
        <f aca="false">IF(B39="","",SUMIFS(Заказы!$I$4:$I$1003,Заказы!$E$4:$E$1003,B39,Заказы!$O$4:$O$1003,"Ожидает отправки")+SUMIFS(Заказы!$I$4:$I$1003,Заказы!$E$4:$E$1003,B39,Заказы!$O$4:$O$1003,"Отправлен (в пути)")+SUMIFS(Заказы!$I$4:$I$1003,Заказы!$E$4:$E$1003,B39,Заказы!$O$4:$O$1003,"Ожидает самовывоза"))</f>
        <v/>
      </c>
      <c r="M39" s="33" t="str">
        <f aca="false">IF(OR(B39="",N(J39)=0),"",K39/J39)</f>
        <v/>
      </c>
      <c r="N39" s="28"/>
    </row>
    <row r="40" customFormat="false" ht="15" hidden="false" customHeight="false" outlineLevel="0" collapsed="false">
      <c r="A40" s="27" t="str">
        <f aca="false">IF(B40="","",ROW()-3)</f>
        <v/>
      </c>
      <c r="B40" s="28"/>
      <c r="C40" s="29"/>
      <c r="D40" s="29"/>
      <c r="E40" s="30"/>
      <c r="F40" s="30"/>
      <c r="G40" s="31" t="str">
        <f aca="false">IF(B40="","",SUMIFS(Заказы!$F$4:$F$1003,Заказы!$E$4:$E$1003,B40,Заказы!$O$4:$O$1003,"Выполнен"))</f>
        <v/>
      </c>
      <c r="H40" s="31" t="str">
        <f aca="false">IF(B40="","",SUMIFS(Заказы!$F$4:$F$1003,Заказы!$E$4:$E$1003,B40,Заказы!$O$4:$O$1003,"Ожидает отправки")+SUMIFS(Заказы!$F$4:$F$1003,Заказы!$E$4:$E$1003,B40,Заказы!$O$4:$O$1003,"Отправлен (в пути)")+SUMIFS(Заказы!$F$4:$F$1003,Заказы!$E$4:$E$1003,B40,Заказы!$O$4:$O$1003,"Ожидает самовывоза"))</f>
        <v/>
      </c>
      <c r="I40" s="31" t="str">
        <f aca="false">IF(B40="","",N(E40)-N(F40)-G40-H40)</f>
        <v/>
      </c>
      <c r="J40" s="32" t="str">
        <f aca="false">IF(B40="","",SUMIFS(Заказы!$I$4:$I$1003,Заказы!$E$4:$E$1003,B40,Заказы!$O$4:$O$1003,"Выполнен"))</f>
        <v/>
      </c>
      <c r="K40" s="32" t="str">
        <f aca="false">IF(B40="","",SUMIFS(Заказы!$M$4:$M$1003,Заказы!$E$4:$E$1003,B40,Заказы!$O$4:$O$1003,"Выполнен"))</f>
        <v/>
      </c>
      <c r="L40" s="32" t="str">
        <f aca="false">IF(B40="","",SUMIFS(Заказы!$I$4:$I$1003,Заказы!$E$4:$E$1003,B40,Заказы!$O$4:$O$1003,"Ожидает отправки")+SUMIFS(Заказы!$I$4:$I$1003,Заказы!$E$4:$E$1003,B40,Заказы!$O$4:$O$1003,"Отправлен (в пути)")+SUMIFS(Заказы!$I$4:$I$1003,Заказы!$E$4:$E$1003,B40,Заказы!$O$4:$O$1003,"Ожидает самовывоза"))</f>
        <v/>
      </c>
      <c r="M40" s="33" t="str">
        <f aca="false">IF(OR(B40="",N(J40)=0),"",K40/J40)</f>
        <v/>
      </c>
      <c r="N40" s="28"/>
    </row>
    <row r="41" customFormat="false" ht="15" hidden="false" customHeight="false" outlineLevel="0" collapsed="false">
      <c r="A41" s="27" t="str">
        <f aca="false">IF(B41="","",ROW()-3)</f>
        <v/>
      </c>
      <c r="B41" s="28"/>
      <c r="C41" s="29"/>
      <c r="D41" s="29"/>
      <c r="E41" s="30"/>
      <c r="F41" s="30"/>
      <c r="G41" s="31" t="str">
        <f aca="false">IF(B41="","",SUMIFS(Заказы!$F$4:$F$1003,Заказы!$E$4:$E$1003,B41,Заказы!$O$4:$O$1003,"Выполнен"))</f>
        <v/>
      </c>
      <c r="H41" s="31" t="str">
        <f aca="false">IF(B41="","",SUMIFS(Заказы!$F$4:$F$1003,Заказы!$E$4:$E$1003,B41,Заказы!$O$4:$O$1003,"Ожидает отправки")+SUMIFS(Заказы!$F$4:$F$1003,Заказы!$E$4:$E$1003,B41,Заказы!$O$4:$O$1003,"Отправлен (в пути)")+SUMIFS(Заказы!$F$4:$F$1003,Заказы!$E$4:$E$1003,B41,Заказы!$O$4:$O$1003,"Ожидает самовывоза"))</f>
        <v/>
      </c>
      <c r="I41" s="31" t="str">
        <f aca="false">IF(B41="","",N(E41)-N(F41)-G41-H41)</f>
        <v/>
      </c>
      <c r="J41" s="32" t="str">
        <f aca="false">IF(B41="","",SUMIFS(Заказы!$I$4:$I$1003,Заказы!$E$4:$E$1003,B41,Заказы!$O$4:$O$1003,"Выполнен"))</f>
        <v/>
      </c>
      <c r="K41" s="32" t="str">
        <f aca="false">IF(B41="","",SUMIFS(Заказы!$M$4:$M$1003,Заказы!$E$4:$E$1003,B41,Заказы!$O$4:$O$1003,"Выполнен"))</f>
        <v/>
      </c>
      <c r="L41" s="32" t="str">
        <f aca="false">IF(B41="","",SUMIFS(Заказы!$I$4:$I$1003,Заказы!$E$4:$E$1003,B41,Заказы!$O$4:$O$1003,"Ожидает отправки")+SUMIFS(Заказы!$I$4:$I$1003,Заказы!$E$4:$E$1003,B41,Заказы!$O$4:$O$1003,"Отправлен (в пути)")+SUMIFS(Заказы!$I$4:$I$1003,Заказы!$E$4:$E$1003,B41,Заказы!$O$4:$O$1003,"Ожидает самовывоза"))</f>
        <v/>
      </c>
      <c r="M41" s="33" t="str">
        <f aca="false">IF(OR(B41="",N(J41)=0),"",K41/J41)</f>
        <v/>
      </c>
      <c r="N41" s="28"/>
    </row>
    <row r="42" customFormat="false" ht="15" hidden="false" customHeight="false" outlineLevel="0" collapsed="false">
      <c r="A42" s="27" t="str">
        <f aca="false">IF(B42="","",ROW()-3)</f>
        <v/>
      </c>
      <c r="B42" s="28"/>
      <c r="C42" s="29"/>
      <c r="D42" s="29"/>
      <c r="E42" s="30"/>
      <c r="F42" s="30"/>
      <c r="G42" s="31" t="str">
        <f aca="false">IF(B42="","",SUMIFS(Заказы!$F$4:$F$1003,Заказы!$E$4:$E$1003,B42,Заказы!$O$4:$O$1003,"Выполнен"))</f>
        <v/>
      </c>
      <c r="H42" s="31" t="str">
        <f aca="false">IF(B42="","",SUMIFS(Заказы!$F$4:$F$1003,Заказы!$E$4:$E$1003,B42,Заказы!$O$4:$O$1003,"Ожидает отправки")+SUMIFS(Заказы!$F$4:$F$1003,Заказы!$E$4:$E$1003,B42,Заказы!$O$4:$O$1003,"Отправлен (в пути)")+SUMIFS(Заказы!$F$4:$F$1003,Заказы!$E$4:$E$1003,B42,Заказы!$O$4:$O$1003,"Ожидает самовывоза"))</f>
        <v/>
      </c>
      <c r="I42" s="31" t="str">
        <f aca="false">IF(B42="","",N(E42)-N(F42)-G42-H42)</f>
        <v/>
      </c>
      <c r="J42" s="32" t="str">
        <f aca="false">IF(B42="","",SUMIFS(Заказы!$I$4:$I$1003,Заказы!$E$4:$E$1003,B42,Заказы!$O$4:$O$1003,"Выполнен"))</f>
        <v/>
      </c>
      <c r="K42" s="32" t="str">
        <f aca="false">IF(B42="","",SUMIFS(Заказы!$M$4:$M$1003,Заказы!$E$4:$E$1003,B42,Заказы!$O$4:$O$1003,"Выполнен"))</f>
        <v/>
      </c>
      <c r="L42" s="32" t="str">
        <f aca="false">IF(B42="","",SUMIFS(Заказы!$I$4:$I$1003,Заказы!$E$4:$E$1003,B42,Заказы!$O$4:$O$1003,"Ожидает отправки")+SUMIFS(Заказы!$I$4:$I$1003,Заказы!$E$4:$E$1003,B42,Заказы!$O$4:$O$1003,"Отправлен (в пути)")+SUMIFS(Заказы!$I$4:$I$1003,Заказы!$E$4:$E$1003,B42,Заказы!$O$4:$O$1003,"Ожидает самовывоза"))</f>
        <v/>
      </c>
      <c r="M42" s="33" t="str">
        <f aca="false">IF(OR(B42="",N(J42)=0),"",K42/J42)</f>
        <v/>
      </c>
      <c r="N42" s="28"/>
    </row>
    <row r="43" customFormat="false" ht="15" hidden="false" customHeight="false" outlineLevel="0" collapsed="false">
      <c r="A43" s="27" t="str">
        <f aca="false">IF(B43="","",ROW()-3)</f>
        <v/>
      </c>
      <c r="B43" s="28"/>
      <c r="C43" s="29"/>
      <c r="D43" s="29"/>
      <c r="E43" s="30"/>
      <c r="F43" s="30"/>
      <c r="G43" s="31" t="str">
        <f aca="false">IF(B43="","",SUMIFS(Заказы!$F$4:$F$1003,Заказы!$E$4:$E$1003,B43,Заказы!$O$4:$O$1003,"Выполнен"))</f>
        <v/>
      </c>
      <c r="H43" s="31" t="str">
        <f aca="false">IF(B43="","",SUMIFS(Заказы!$F$4:$F$1003,Заказы!$E$4:$E$1003,B43,Заказы!$O$4:$O$1003,"Ожидает отправки")+SUMIFS(Заказы!$F$4:$F$1003,Заказы!$E$4:$E$1003,B43,Заказы!$O$4:$O$1003,"Отправлен (в пути)")+SUMIFS(Заказы!$F$4:$F$1003,Заказы!$E$4:$E$1003,B43,Заказы!$O$4:$O$1003,"Ожидает самовывоза"))</f>
        <v/>
      </c>
      <c r="I43" s="31" t="str">
        <f aca="false">IF(B43="","",N(E43)-N(F43)-G43-H43)</f>
        <v/>
      </c>
      <c r="J43" s="32" t="str">
        <f aca="false">IF(B43="","",SUMIFS(Заказы!$I$4:$I$1003,Заказы!$E$4:$E$1003,B43,Заказы!$O$4:$O$1003,"Выполнен"))</f>
        <v/>
      </c>
      <c r="K43" s="32" t="str">
        <f aca="false">IF(B43="","",SUMIFS(Заказы!$M$4:$M$1003,Заказы!$E$4:$E$1003,B43,Заказы!$O$4:$O$1003,"Выполнен"))</f>
        <v/>
      </c>
      <c r="L43" s="32" t="str">
        <f aca="false">IF(B43="","",SUMIFS(Заказы!$I$4:$I$1003,Заказы!$E$4:$E$1003,B43,Заказы!$O$4:$O$1003,"Ожидает отправки")+SUMIFS(Заказы!$I$4:$I$1003,Заказы!$E$4:$E$1003,B43,Заказы!$O$4:$O$1003,"Отправлен (в пути)")+SUMIFS(Заказы!$I$4:$I$1003,Заказы!$E$4:$E$1003,B43,Заказы!$O$4:$O$1003,"Ожидает самовывоза"))</f>
        <v/>
      </c>
      <c r="M43" s="33" t="str">
        <f aca="false">IF(OR(B43="",N(J43)=0),"",K43/J43)</f>
        <v/>
      </c>
      <c r="N43" s="28"/>
    </row>
    <row r="44" customFormat="false" ht="15" hidden="false" customHeight="false" outlineLevel="0" collapsed="false">
      <c r="A44" s="27" t="str">
        <f aca="false">IF(B44="","",ROW()-3)</f>
        <v/>
      </c>
      <c r="B44" s="28"/>
      <c r="C44" s="29"/>
      <c r="D44" s="29"/>
      <c r="E44" s="30"/>
      <c r="F44" s="30"/>
      <c r="G44" s="31" t="str">
        <f aca="false">IF(B44="","",SUMIFS(Заказы!$F$4:$F$1003,Заказы!$E$4:$E$1003,B44,Заказы!$O$4:$O$1003,"Выполнен"))</f>
        <v/>
      </c>
      <c r="H44" s="31" t="str">
        <f aca="false">IF(B44="","",SUMIFS(Заказы!$F$4:$F$1003,Заказы!$E$4:$E$1003,B44,Заказы!$O$4:$O$1003,"Ожидает отправки")+SUMIFS(Заказы!$F$4:$F$1003,Заказы!$E$4:$E$1003,B44,Заказы!$O$4:$O$1003,"Отправлен (в пути)")+SUMIFS(Заказы!$F$4:$F$1003,Заказы!$E$4:$E$1003,B44,Заказы!$O$4:$O$1003,"Ожидает самовывоза"))</f>
        <v/>
      </c>
      <c r="I44" s="31" t="str">
        <f aca="false">IF(B44="","",N(E44)-N(F44)-G44-H44)</f>
        <v/>
      </c>
      <c r="J44" s="32" t="str">
        <f aca="false">IF(B44="","",SUMIFS(Заказы!$I$4:$I$1003,Заказы!$E$4:$E$1003,B44,Заказы!$O$4:$O$1003,"Выполнен"))</f>
        <v/>
      </c>
      <c r="K44" s="32" t="str">
        <f aca="false">IF(B44="","",SUMIFS(Заказы!$M$4:$M$1003,Заказы!$E$4:$E$1003,B44,Заказы!$O$4:$O$1003,"Выполнен"))</f>
        <v/>
      </c>
      <c r="L44" s="32" t="str">
        <f aca="false">IF(B44="","",SUMIFS(Заказы!$I$4:$I$1003,Заказы!$E$4:$E$1003,B44,Заказы!$O$4:$O$1003,"Ожидает отправки")+SUMIFS(Заказы!$I$4:$I$1003,Заказы!$E$4:$E$1003,B44,Заказы!$O$4:$O$1003,"Отправлен (в пути)")+SUMIFS(Заказы!$I$4:$I$1003,Заказы!$E$4:$E$1003,B44,Заказы!$O$4:$O$1003,"Ожидает самовывоза"))</f>
        <v/>
      </c>
      <c r="M44" s="33" t="str">
        <f aca="false">IF(OR(B44="",N(J44)=0),"",K44/J44)</f>
        <v/>
      </c>
      <c r="N44" s="28"/>
    </row>
    <row r="45" customFormat="false" ht="15" hidden="false" customHeight="false" outlineLevel="0" collapsed="false">
      <c r="A45" s="27" t="str">
        <f aca="false">IF(B45="","",ROW()-3)</f>
        <v/>
      </c>
      <c r="B45" s="28"/>
      <c r="C45" s="29"/>
      <c r="D45" s="29"/>
      <c r="E45" s="30"/>
      <c r="F45" s="30"/>
      <c r="G45" s="31" t="str">
        <f aca="false">IF(B45="","",SUMIFS(Заказы!$F$4:$F$1003,Заказы!$E$4:$E$1003,B45,Заказы!$O$4:$O$1003,"Выполнен"))</f>
        <v/>
      </c>
      <c r="H45" s="31" t="str">
        <f aca="false">IF(B45="","",SUMIFS(Заказы!$F$4:$F$1003,Заказы!$E$4:$E$1003,B45,Заказы!$O$4:$O$1003,"Ожидает отправки")+SUMIFS(Заказы!$F$4:$F$1003,Заказы!$E$4:$E$1003,B45,Заказы!$O$4:$O$1003,"Отправлен (в пути)")+SUMIFS(Заказы!$F$4:$F$1003,Заказы!$E$4:$E$1003,B45,Заказы!$O$4:$O$1003,"Ожидает самовывоза"))</f>
        <v/>
      </c>
      <c r="I45" s="31" t="str">
        <f aca="false">IF(B45="","",N(E45)-N(F45)-G45-H45)</f>
        <v/>
      </c>
      <c r="J45" s="32" t="str">
        <f aca="false">IF(B45="","",SUMIFS(Заказы!$I$4:$I$1003,Заказы!$E$4:$E$1003,B45,Заказы!$O$4:$O$1003,"Выполнен"))</f>
        <v/>
      </c>
      <c r="K45" s="32" t="str">
        <f aca="false">IF(B45="","",SUMIFS(Заказы!$M$4:$M$1003,Заказы!$E$4:$E$1003,B45,Заказы!$O$4:$O$1003,"Выполнен"))</f>
        <v/>
      </c>
      <c r="L45" s="32" t="str">
        <f aca="false">IF(B45="","",SUMIFS(Заказы!$I$4:$I$1003,Заказы!$E$4:$E$1003,B45,Заказы!$O$4:$O$1003,"Ожидает отправки")+SUMIFS(Заказы!$I$4:$I$1003,Заказы!$E$4:$E$1003,B45,Заказы!$O$4:$O$1003,"Отправлен (в пути)")+SUMIFS(Заказы!$I$4:$I$1003,Заказы!$E$4:$E$1003,B45,Заказы!$O$4:$O$1003,"Ожидает самовывоза"))</f>
        <v/>
      </c>
      <c r="M45" s="33" t="str">
        <f aca="false">IF(OR(B45="",N(J45)=0),"",K45/J45)</f>
        <v/>
      </c>
      <c r="N45" s="28"/>
    </row>
    <row r="46" customFormat="false" ht="15" hidden="false" customHeight="false" outlineLevel="0" collapsed="false">
      <c r="A46" s="27" t="str">
        <f aca="false">IF(B46="","",ROW()-3)</f>
        <v/>
      </c>
      <c r="B46" s="28"/>
      <c r="C46" s="29"/>
      <c r="D46" s="29"/>
      <c r="E46" s="30"/>
      <c r="F46" s="30"/>
      <c r="G46" s="31" t="str">
        <f aca="false">IF(B46="","",SUMIFS(Заказы!$F$4:$F$1003,Заказы!$E$4:$E$1003,B46,Заказы!$O$4:$O$1003,"Выполнен"))</f>
        <v/>
      </c>
      <c r="H46" s="31" t="str">
        <f aca="false">IF(B46="","",SUMIFS(Заказы!$F$4:$F$1003,Заказы!$E$4:$E$1003,B46,Заказы!$O$4:$O$1003,"Ожидает отправки")+SUMIFS(Заказы!$F$4:$F$1003,Заказы!$E$4:$E$1003,B46,Заказы!$O$4:$O$1003,"Отправлен (в пути)")+SUMIFS(Заказы!$F$4:$F$1003,Заказы!$E$4:$E$1003,B46,Заказы!$O$4:$O$1003,"Ожидает самовывоза"))</f>
        <v/>
      </c>
      <c r="I46" s="31" t="str">
        <f aca="false">IF(B46="","",N(E46)-N(F46)-G46-H46)</f>
        <v/>
      </c>
      <c r="J46" s="32" t="str">
        <f aca="false">IF(B46="","",SUMIFS(Заказы!$I$4:$I$1003,Заказы!$E$4:$E$1003,B46,Заказы!$O$4:$O$1003,"Выполнен"))</f>
        <v/>
      </c>
      <c r="K46" s="32" t="str">
        <f aca="false">IF(B46="","",SUMIFS(Заказы!$M$4:$M$1003,Заказы!$E$4:$E$1003,B46,Заказы!$O$4:$O$1003,"Выполнен"))</f>
        <v/>
      </c>
      <c r="L46" s="32" t="str">
        <f aca="false">IF(B46="","",SUMIFS(Заказы!$I$4:$I$1003,Заказы!$E$4:$E$1003,B46,Заказы!$O$4:$O$1003,"Ожидает отправки")+SUMIFS(Заказы!$I$4:$I$1003,Заказы!$E$4:$E$1003,B46,Заказы!$O$4:$O$1003,"Отправлен (в пути)")+SUMIFS(Заказы!$I$4:$I$1003,Заказы!$E$4:$E$1003,B46,Заказы!$O$4:$O$1003,"Ожидает самовывоза"))</f>
        <v/>
      </c>
      <c r="M46" s="33" t="str">
        <f aca="false">IF(OR(B46="",N(J46)=0),"",K46/J46)</f>
        <v/>
      </c>
      <c r="N46" s="28"/>
    </row>
    <row r="47" customFormat="false" ht="15" hidden="false" customHeight="false" outlineLevel="0" collapsed="false">
      <c r="A47" s="27" t="str">
        <f aca="false">IF(B47="","",ROW()-3)</f>
        <v/>
      </c>
      <c r="B47" s="28"/>
      <c r="C47" s="29"/>
      <c r="D47" s="29"/>
      <c r="E47" s="30"/>
      <c r="F47" s="30"/>
      <c r="G47" s="31" t="str">
        <f aca="false">IF(B47="","",SUMIFS(Заказы!$F$4:$F$1003,Заказы!$E$4:$E$1003,B47,Заказы!$O$4:$O$1003,"Выполнен"))</f>
        <v/>
      </c>
      <c r="H47" s="31" t="str">
        <f aca="false">IF(B47="","",SUMIFS(Заказы!$F$4:$F$1003,Заказы!$E$4:$E$1003,B47,Заказы!$O$4:$O$1003,"Ожидает отправки")+SUMIFS(Заказы!$F$4:$F$1003,Заказы!$E$4:$E$1003,B47,Заказы!$O$4:$O$1003,"Отправлен (в пути)")+SUMIFS(Заказы!$F$4:$F$1003,Заказы!$E$4:$E$1003,B47,Заказы!$O$4:$O$1003,"Ожидает самовывоза"))</f>
        <v/>
      </c>
      <c r="I47" s="31" t="str">
        <f aca="false">IF(B47="","",N(E47)-N(F47)-G47-H47)</f>
        <v/>
      </c>
      <c r="J47" s="32" t="str">
        <f aca="false">IF(B47="","",SUMIFS(Заказы!$I$4:$I$1003,Заказы!$E$4:$E$1003,B47,Заказы!$O$4:$O$1003,"Выполнен"))</f>
        <v/>
      </c>
      <c r="K47" s="32" t="str">
        <f aca="false">IF(B47="","",SUMIFS(Заказы!$M$4:$M$1003,Заказы!$E$4:$E$1003,B47,Заказы!$O$4:$O$1003,"Выполнен"))</f>
        <v/>
      </c>
      <c r="L47" s="32" t="str">
        <f aca="false">IF(B47="","",SUMIFS(Заказы!$I$4:$I$1003,Заказы!$E$4:$E$1003,B47,Заказы!$O$4:$O$1003,"Ожидает отправки")+SUMIFS(Заказы!$I$4:$I$1003,Заказы!$E$4:$E$1003,B47,Заказы!$O$4:$O$1003,"Отправлен (в пути)")+SUMIFS(Заказы!$I$4:$I$1003,Заказы!$E$4:$E$1003,B47,Заказы!$O$4:$O$1003,"Ожидает самовывоза"))</f>
        <v/>
      </c>
      <c r="M47" s="33" t="str">
        <f aca="false">IF(OR(B47="",N(J47)=0),"",K47/J47)</f>
        <v/>
      </c>
      <c r="N47" s="28"/>
    </row>
    <row r="48" customFormat="false" ht="15" hidden="false" customHeight="false" outlineLevel="0" collapsed="false">
      <c r="A48" s="27" t="str">
        <f aca="false">IF(B48="","",ROW()-3)</f>
        <v/>
      </c>
      <c r="B48" s="28"/>
      <c r="C48" s="29"/>
      <c r="D48" s="29"/>
      <c r="E48" s="30"/>
      <c r="F48" s="30"/>
      <c r="G48" s="31" t="str">
        <f aca="false">IF(B48="","",SUMIFS(Заказы!$F$4:$F$1003,Заказы!$E$4:$E$1003,B48,Заказы!$O$4:$O$1003,"Выполнен"))</f>
        <v/>
      </c>
      <c r="H48" s="31" t="str">
        <f aca="false">IF(B48="","",SUMIFS(Заказы!$F$4:$F$1003,Заказы!$E$4:$E$1003,B48,Заказы!$O$4:$O$1003,"Ожидает отправки")+SUMIFS(Заказы!$F$4:$F$1003,Заказы!$E$4:$E$1003,B48,Заказы!$O$4:$O$1003,"Отправлен (в пути)")+SUMIFS(Заказы!$F$4:$F$1003,Заказы!$E$4:$E$1003,B48,Заказы!$O$4:$O$1003,"Ожидает самовывоза"))</f>
        <v/>
      </c>
      <c r="I48" s="31" t="str">
        <f aca="false">IF(B48="","",N(E48)-N(F48)-G48-H48)</f>
        <v/>
      </c>
      <c r="J48" s="32" t="str">
        <f aca="false">IF(B48="","",SUMIFS(Заказы!$I$4:$I$1003,Заказы!$E$4:$E$1003,B48,Заказы!$O$4:$O$1003,"Выполнен"))</f>
        <v/>
      </c>
      <c r="K48" s="32" t="str">
        <f aca="false">IF(B48="","",SUMIFS(Заказы!$M$4:$M$1003,Заказы!$E$4:$E$1003,B48,Заказы!$O$4:$O$1003,"Выполнен"))</f>
        <v/>
      </c>
      <c r="L48" s="32" t="str">
        <f aca="false">IF(B48="","",SUMIFS(Заказы!$I$4:$I$1003,Заказы!$E$4:$E$1003,B48,Заказы!$O$4:$O$1003,"Ожидает отправки")+SUMIFS(Заказы!$I$4:$I$1003,Заказы!$E$4:$E$1003,B48,Заказы!$O$4:$O$1003,"Отправлен (в пути)")+SUMIFS(Заказы!$I$4:$I$1003,Заказы!$E$4:$E$1003,B48,Заказы!$O$4:$O$1003,"Ожидает самовывоза"))</f>
        <v/>
      </c>
      <c r="M48" s="33" t="str">
        <f aca="false">IF(OR(B48="",N(J48)=0),"",K48/J48)</f>
        <v/>
      </c>
      <c r="N48" s="28"/>
    </row>
    <row r="49" customFormat="false" ht="15" hidden="false" customHeight="false" outlineLevel="0" collapsed="false">
      <c r="A49" s="27" t="str">
        <f aca="false">IF(B49="","",ROW()-3)</f>
        <v/>
      </c>
      <c r="B49" s="28"/>
      <c r="C49" s="29"/>
      <c r="D49" s="29"/>
      <c r="E49" s="30"/>
      <c r="F49" s="30"/>
      <c r="G49" s="31" t="str">
        <f aca="false">IF(B49="","",SUMIFS(Заказы!$F$4:$F$1003,Заказы!$E$4:$E$1003,B49,Заказы!$O$4:$O$1003,"Выполнен"))</f>
        <v/>
      </c>
      <c r="H49" s="31" t="str">
        <f aca="false">IF(B49="","",SUMIFS(Заказы!$F$4:$F$1003,Заказы!$E$4:$E$1003,B49,Заказы!$O$4:$O$1003,"Ожидает отправки")+SUMIFS(Заказы!$F$4:$F$1003,Заказы!$E$4:$E$1003,B49,Заказы!$O$4:$O$1003,"Отправлен (в пути)")+SUMIFS(Заказы!$F$4:$F$1003,Заказы!$E$4:$E$1003,B49,Заказы!$O$4:$O$1003,"Ожидает самовывоза"))</f>
        <v/>
      </c>
      <c r="I49" s="31" t="str">
        <f aca="false">IF(B49="","",N(E49)-N(F49)-G49-H49)</f>
        <v/>
      </c>
      <c r="J49" s="32" t="str">
        <f aca="false">IF(B49="","",SUMIFS(Заказы!$I$4:$I$1003,Заказы!$E$4:$E$1003,B49,Заказы!$O$4:$O$1003,"Выполнен"))</f>
        <v/>
      </c>
      <c r="K49" s="32" t="str">
        <f aca="false">IF(B49="","",SUMIFS(Заказы!$M$4:$M$1003,Заказы!$E$4:$E$1003,B49,Заказы!$O$4:$O$1003,"Выполнен"))</f>
        <v/>
      </c>
      <c r="L49" s="32" t="str">
        <f aca="false">IF(B49="","",SUMIFS(Заказы!$I$4:$I$1003,Заказы!$E$4:$E$1003,B49,Заказы!$O$4:$O$1003,"Ожидает отправки")+SUMIFS(Заказы!$I$4:$I$1003,Заказы!$E$4:$E$1003,B49,Заказы!$O$4:$O$1003,"Отправлен (в пути)")+SUMIFS(Заказы!$I$4:$I$1003,Заказы!$E$4:$E$1003,B49,Заказы!$O$4:$O$1003,"Ожидает самовывоза"))</f>
        <v/>
      </c>
      <c r="M49" s="33" t="str">
        <f aca="false">IF(OR(B49="",N(J49)=0),"",K49/J49)</f>
        <v/>
      </c>
      <c r="N49" s="28"/>
    </row>
    <row r="50" customFormat="false" ht="15" hidden="false" customHeight="false" outlineLevel="0" collapsed="false">
      <c r="A50" s="27" t="str">
        <f aca="false">IF(B50="","",ROW()-3)</f>
        <v/>
      </c>
      <c r="B50" s="28"/>
      <c r="C50" s="29"/>
      <c r="D50" s="29"/>
      <c r="E50" s="30"/>
      <c r="F50" s="30"/>
      <c r="G50" s="31" t="str">
        <f aca="false">IF(B50="","",SUMIFS(Заказы!$F$4:$F$1003,Заказы!$E$4:$E$1003,B50,Заказы!$O$4:$O$1003,"Выполнен"))</f>
        <v/>
      </c>
      <c r="H50" s="31" t="str">
        <f aca="false">IF(B50="","",SUMIFS(Заказы!$F$4:$F$1003,Заказы!$E$4:$E$1003,B50,Заказы!$O$4:$O$1003,"Ожидает отправки")+SUMIFS(Заказы!$F$4:$F$1003,Заказы!$E$4:$E$1003,B50,Заказы!$O$4:$O$1003,"Отправлен (в пути)")+SUMIFS(Заказы!$F$4:$F$1003,Заказы!$E$4:$E$1003,B50,Заказы!$O$4:$O$1003,"Ожидает самовывоза"))</f>
        <v/>
      </c>
      <c r="I50" s="31" t="str">
        <f aca="false">IF(B50="","",N(E50)-N(F50)-G50-H50)</f>
        <v/>
      </c>
      <c r="J50" s="32" t="str">
        <f aca="false">IF(B50="","",SUMIFS(Заказы!$I$4:$I$1003,Заказы!$E$4:$E$1003,B50,Заказы!$O$4:$O$1003,"Выполнен"))</f>
        <v/>
      </c>
      <c r="K50" s="32" t="str">
        <f aca="false">IF(B50="","",SUMIFS(Заказы!$M$4:$M$1003,Заказы!$E$4:$E$1003,B50,Заказы!$O$4:$O$1003,"Выполнен"))</f>
        <v/>
      </c>
      <c r="L50" s="32" t="str">
        <f aca="false">IF(B50="","",SUMIFS(Заказы!$I$4:$I$1003,Заказы!$E$4:$E$1003,B50,Заказы!$O$4:$O$1003,"Ожидает отправки")+SUMIFS(Заказы!$I$4:$I$1003,Заказы!$E$4:$E$1003,B50,Заказы!$O$4:$O$1003,"Отправлен (в пути)")+SUMIFS(Заказы!$I$4:$I$1003,Заказы!$E$4:$E$1003,B50,Заказы!$O$4:$O$1003,"Ожидает самовывоза"))</f>
        <v/>
      </c>
      <c r="M50" s="33" t="str">
        <f aca="false">IF(OR(B50="",N(J50)=0),"",K50/J50)</f>
        <v/>
      </c>
      <c r="N50" s="28"/>
    </row>
    <row r="51" customFormat="false" ht="15" hidden="false" customHeight="false" outlineLevel="0" collapsed="false">
      <c r="A51" s="27" t="str">
        <f aca="false">IF(B51="","",ROW()-3)</f>
        <v/>
      </c>
      <c r="B51" s="28"/>
      <c r="C51" s="29"/>
      <c r="D51" s="29"/>
      <c r="E51" s="30"/>
      <c r="F51" s="30"/>
      <c r="G51" s="31" t="str">
        <f aca="false">IF(B51="","",SUMIFS(Заказы!$F$4:$F$1003,Заказы!$E$4:$E$1003,B51,Заказы!$O$4:$O$1003,"Выполнен"))</f>
        <v/>
      </c>
      <c r="H51" s="31" t="str">
        <f aca="false">IF(B51="","",SUMIFS(Заказы!$F$4:$F$1003,Заказы!$E$4:$E$1003,B51,Заказы!$O$4:$O$1003,"Ожидает отправки")+SUMIFS(Заказы!$F$4:$F$1003,Заказы!$E$4:$E$1003,B51,Заказы!$O$4:$O$1003,"Отправлен (в пути)")+SUMIFS(Заказы!$F$4:$F$1003,Заказы!$E$4:$E$1003,B51,Заказы!$O$4:$O$1003,"Ожидает самовывоза"))</f>
        <v/>
      </c>
      <c r="I51" s="31" t="str">
        <f aca="false">IF(B51="","",N(E51)-N(F51)-G51-H51)</f>
        <v/>
      </c>
      <c r="J51" s="32" t="str">
        <f aca="false">IF(B51="","",SUMIFS(Заказы!$I$4:$I$1003,Заказы!$E$4:$E$1003,B51,Заказы!$O$4:$O$1003,"Выполнен"))</f>
        <v/>
      </c>
      <c r="K51" s="32" t="str">
        <f aca="false">IF(B51="","",SUMIFS(Заказы!$M$4:$M$1003,Заказы!$E$4:$E$1003,B51,Заказы!$O$4:$O$1003,"Выполнен"))</f>
        <v/>
      </c>
      <c r="L51" s="32" t="str">
        <f aca="false">IF(B51="","",SUMIFS(Заказы!$I$4:$I$1003,Заказы!$E$4:$E$1003,B51,Заказы!$O$4:$O$1003,"Ожидает отправки")+SUMIFS(Заказы!$I$4:$I$1003,Заказы!$E$4:$E$1003,B51,Заказы!$O$4:$O$1003,"Отправлен (в пути)")+SUMIFS(Заказы!$I$4:$I$1003,Заказы!$E$4:$E$1003,B51,Заказы!$O$4:$O$1003,"Ожидает самовывоза"))</f>
        <v/>
      </c>
      <c r="M51" s="33" t="str">
        <f aca="false">IF(OR(B51="",N(J51)=0),"",K51/J51)</f>
        <v/>
      </c>
      <c r="N51" s="28"/>
    </row>
    <row r="52" customFormat="false" ht="15" hidden="false" customHeight="false" outlineLevel="0" collapsed="false">
      <c r="A52" s="27" t="str">
        <f aca="false">IF(B52="","",ROW()-3)</f>
        <v/>
      </c>
      <c r="B52" s="28"/>
      <c r="C52" s="29"/>
      <c r="D52" s="29"/>
      <c r="E52" s="30"/>
      <c r="F52" s="30"/>
      <c r="G52" s="31" t="str">
        <f aca="false">IF(B52="","",SUMIFS(Заказы!$F$4:$F$1003,Заказы!$E$4:$E$1003,B52,Заказы!$O$4:$O$1003,"Выполнен"))</f>
        <v/>
      </c>
      <c r="H52" s="31" t="str">
        <f aca="false">IF(B52="","",SUMIFS(Заказы!$F$4:$F$1003,Заказы!$E$4:$E$1003,B52,Заказы!$O$4:$O$1003,"Ожидает отправки")+SUMIFS(Заказы!$F$4:$F$1003,Заказы!$E$4:$E$1003,B52,Заказы!$O$4:$O$1003,"Отправлен (в пути)")+SUMIFS(Заказы!$F$4:$F$1003,Заказы!$E$4:$E$1003,B52,Заказы!$O$4:$O$1003,"Ожидает самовывоза"))</f>
        <v/>
      </c>
      <c r="I52" s="31" t="str">
        <f aca="false">IF(B52="","",N(E52)-N(F52)-G52-H52)</f>
        <v/>
      </c>
      <c r="J52" s="32" t="str">
        <f aca="false">IF(B52="","",SUMIFS(Заказы!$I$4:$I$1003,Заказы!$E$4:$E$1003,B52,Заказы!$O$4:$O$1003,"Выполнен"))</f>
        <v/>
      </c>
      <c r="K52" s="32" t="str">
        <f aca="false">IF(B52="","",SUMIFS(Заказы!$M$4:$M$1003,Заказы!$E$4:$E$1003,B52,Заказы!$O$4:$O$1003,"Выполнен"))</f>
        <v/>
      </c>
      <c r="L52" s="32" t="str">
        <f aca="false">IF(B52="","",SUMIFS(Заказы!$I$4:$I$1003,Заказы!$E$4:$E$1003,B52,Заказы!$O$4:$O$1003,"Ожидает отправки")+SUMIFS(Заказы!$I$4:$I$1003,Заказы!$E$4:$E$1003,B52,Заказы!$O$4:$O$1003,"Отправлен (в пути)")+SUMIFS(Заказы!$I$4:$I$1003,Заказы!$E$4:$E$1003,B52,Заказы!$O$4:$O$1003,"Ожидает самовывоза"))</f>
        <v/>
      </c>
      <c r="M52" s="33" t="str">
        <f aca="false">IF(OR(B52="",N(J52)=0),"",K52/J52)</f>
        <v/>
      </c>
      <c r="N52" s="28"/>
    </row>
    <row r="53" customFormat="false" ht="15" hidden="false" customHeight="false" outlineLevel="0" collapsed="false">
      <c r="A53" s="27" t="str">
        <f aca="false">IF(B53="","",ROW()-3)</f>
        <v/>
      </c>
      <c r="B53" s="28"/>
      <c r="C53" s="29"/>
      <c r="D53" s="29"/>
      <c r="E53" s="30"/>
      <c r="F53" s="30"/>
      <c r="G53" s="31" t="str">
        <f aca="false">IF(B53="","",SUMIFS(Заказы!$F$4:$F$1003,Заказы!$E$4:$E$1003,B53,Заказы!$O$4:$O$1003,"Выполнен"))</f>
        <v/>
      </c>
      <c r="H53" s="31" t="str">
        <f aca="false">IF(B53="","",SUMIFS(Заказы!$F$4:$F$1003,Заказы!$E$4:$E$1003,B53,Заказы!$O$4:$O$1003,"Ожидает отправки")+SUMIFS(Заказы!$F$4:$F$1003,Заказы!$E$4:$E$1003,B53,Заказы!$O$4:$O$1003,"Отправлен (в пути)")+SUMIFS(Заказы!$F$4:$F$1003,Заказы!$E$4:$E$1003,B53,Заказы!$O$4:$O$1003,"Ожидает самовывоза"))</f>
        <v/>
      </c>
      <c r="I53" s="31" t="str">
        <f aca="false">IF(B53="","",N(E53)-N(F53)-G53-H53)</f>
        <v/>
      </c>
      <c r="J53" s="32" t="str">
        <f aca="false">IF(B53="","",SUMIFS(Заказы!$I$4:$I$1003,Заказы!$E$4:$E$1003,B53,Заказы!$O$4:$O$1003,"Выполнен"))</f>
        <v/>
      </c>
      <c r="K53" s="32" t="str">
        <f aca="false">IF(B53="","",SUMIFS(Заказы!$M$4:$M$1003,Заказы!$E$4:$E$1003,B53,Заказы!$O$4:$O$1003,"Выполнен"))</f>
        <v/>
      </c>
      <c r="L53" s="32" t="str">
        <f aca="false">IF(B53="","",SUMIFS(Заказы!$I$4:$I$1003,Заказы!$E$4:$E$1003,B53,Заказы!$O$4:$O$1003,"Ожидает отправки")+SUMIFS(Заказы!$I$4:$I$1003,Заказы!$E$4:$E$1003,B53,Заказы!$O$4:$O$1003,"Отправлен (в пути)")+SUMIFS(Заказы!$I$4:$I$1003,Заказы!$E$4:$E$1003,B53,Заказы!$O$4:$O$1003,"Ожидает самовывоза"))</f>
        <v/>
      </c>
      <c r="M53" s="33" t="str">
        <f aca="false">IF(OR(B53="",N(J53)=0),"",K53/J53)</f>
        <v/>
      </c>
      <c r="N53" s="28"/>
    </row>
    <row r="54" customFormat="false" ht="15" hidden="false" customHeight="false" outlineLevel="0" collapsed="false">
      <c r="A54" s="27" t="str">
        <f aca="false">IF(B54="","",ROW()-3)</f>
        <v/>
      </c>
      <c r="B54" s="28"/>
      <c r="C54" s="29"/>
      <c r="D54" s="29"/>
      <c r="E54" s="30"/>
      <c r="F54" s="30"/>
      <c r="G54" s="31" t="str">
        <f aca="false">IF(B54="","",SUMIFS(Заказы!$F$4:$F$1003,Заказы!$E$4:$E$1003,B54,Заказы!$O$4:$O$1003,"Выполнен"))</f>
        <v/>
      </c>
      <c r="H54" s="31" t="str">
        <f aca="false">IF(B54="","",SUMIFS(Заказы!$F$4:$F$1003,Заказы!$E$4:$E$1003,B54,Заказы!$O$4:$O$1003,"Ожидает отправки")+SUMIFS(Заказы!$F$4:$F$1003,Заказы!$E$4:$E$1003,B54,Заказы!$O$4:$O$1003,"Отправлен (в пути)")+SUMIFS(Заказы!$F$4:$F$1003,Заказы!$E$4:$E$1003,B54,Заказы!$O$4:$O$1003,"Ожидает самовывоза"))</f>
        <v/>
      </c>
      <c r="I54" s="31" t="str">
        <f aca="false">IF(B54="","",N(E54)-N(F54)-G54-H54)</f>
        <v/>
      </c>
      <c r="J54" s="32" t="str">
        <f aca="false">IF(B54="","",SUMIFS(Заказы!$I$4:$I$1003,Заказы!$E$4:$E$1003,B54,Заказы!$O$4:$O$1003,"Выполнен"))</f>
        <v/>
      </c>
      <c r="K54" s="32" t="str">
        <f aca="false">IF(B54="","",SUMIFS(Заказы!$M$4:$M$1003,Заказы!$E$4:$E$1003,B54,Заказы!$O$4:$O$1003,"Выполнен"))</f>
        <v/>
      </c>
      <c r="L54" s="32" t="str">
        <f aca="false">IF(B54="","",SUMIFS(Заказы!$I$4:$I$1003,Заказы!$E$4:$E$1003,B54,Заказы!$O$4:$O$1003,"Ожидает отправки")+SUMIFS(Заказы!$I$4:$I$1003,Заказы!$E$4:$E$1003,B54,Заказы!$O$4:$O$1003,"Отправлен (в пути)")+SUMIFS(Заказы!$I$4:$I$1003,Заказы!$E$4:$E$1003,B54,Заказы!$O$4:$O$1003,"Ожидает самовывоза"))</f>
        <v/>
      </c>
      <c r="M54" s="33" t="str">
        <f aca="false">IF(OR(B54="",N(J54)=0),"",K54/J54)</f>
        <v/>
      </c>
      <c r="N54" s="28"/>
    </row>
    <row r="55" customFormat="false" ht="15" hidden="false" customHeight="false" outlineLevel="0" collapsed="false">
      <c r="A55" s="27" t="str">
        <f aca="false">IF(B55="","",ROW()-3)</f>
        <v/>
      </c>
      <c r="B55" s="28"/>
      <c r="C55" s="29"/>
      <c r="D55" s="29"/>
      <c r="E55" s="30"/>
      <c r="F55" s="30"/>
      <c r="G55" s="31" t="str">
        <f aca="false">IF(B55="","",SUMIFS(Заказы!$F$4:$F$1003,Заказы!$E$4:$E$1003,B55,Заказы!$O$4:$O$1003,"Выполнен"))</f>
        <v/>
      </c>
      <c r="H55" s="31" t="str">
        <f aca="false">IF(B55="","",SUMIFS(Заказы!$F$4:$F$1003,Заказы!$E$4:$E$1003,B55,Заказы!$O$4:$O$1003,"Ожидает отправки")+SUMIFS(Заказы!$F$4:$F$1003,Заказы!$E$4:$E$1003,B55,Заказы!$O$4:$O$1003,"Отправлен (в пути)")+SUMIFS(Заказы!$F$4:$F$1003,Заказы!$E$4:$E$1003,B55,Заказы!$O$4:$O$1003,"Ожидает самовывоза"))</f>
        <v/>
      </c>
      <c r="I55" s="31" t="str">
        <f aca="false">IF(B55="","",N(E55)-N(F55)-G55-H55)</f>
        <v/>
      </c>
      <c r="J55" s="32" t="str">
        <f aca="false">IF(B55="","",SUMIFS(Заказы!$I$4:$I$1003,Заказы!$E$4:$E$1003,B55,Заказы!$O$4:$O$1003,"Выполнен"))</f>
        <v/>
      </c>
      <c r="K55" s="32" t="str">
        <f aca="false">IF(B55="","",SUMIFS(Заказы!$M$4:$M$1003,Заказы!$E$4:$E$1003,B55,Заказы!$O$4:$O$1003,"Выполнен"))</f>
        <v/>
      </c>
      <c r="L55" s="32" t="str">
        <f aca="false">IF(B55="","",SUMIFS(Заказы!$I$4:$I$1003,Заказы!$E$4:$E$1003,B55,Заказы!$O$4:$O$1003,"Ожидает отправки")+SUMIFS(Заказы!$I$4:$I$1003,Заказы!$E$4:$E$1003,B55,Заказы!$O$4:$O$1003,"Отправлен (в пути)")+SUMIFS(Заказы!$I$4:$I$1003,Заказы!$E$4:$E$1003,B55,Заказы!$O$4:$O$1003,"Ожидает самовывоза"))</f>
        <v/>
      </c>
      <c r="M55" s="33" t="str">
        <f aca="false">IF(OR(B55="",N(J55)=0),"",K55/J55)</f>
        <v/>
      </c>
      <c r="N55" s="28"/>
    </row>
    <row r="56" customFormat="false" ht="15" hidden="false" customHeight="false" outlineLevel="0" collapsed="false">
      <c r="A56" s="27" t="str">
        <f aca="false">IF(B56="","",ROW()-3)</f>
        <v/>
      </c>
      <c r="B56" s="28"/>
      <c r="C56" s="29"/>
      <c r="D56" s="29"/>
      <c r="E56" s="30"/>
      <c r="F56" s="30"/>
      <c r="G56" s="31" t="str">
        <f aca="false">IF(B56="","",SUMIFS(Заказы!$F$4:$F$1003,Заказы!$E$4:$E$1003,B56,Заказы!$O$4:$O$1003,"Выполнен"))</f>
        <v/>
      </c>
      <c r="H56" s="31" t="str">
        <f aca="false">IF(B56="","",SUMIFS(Заказы!$F$4:$F$1003,Заказы!$E$4:$E$1003,B56,Заказы!$O$4:$O$1003,"Ожидает отправки")+SUMIFS(Заказы!$F$4:$F$1003,Заказы!$E$4:$E$1003,B56,Заказы!$O$4:$O$1003,"Отправлен (в пути)")+SUMIFS(Заказы!$F$4:$F$1003,Заказы!$E$4:$E$1003,B56,Заказы!$O$4:$O$1003,"Ожидает самовывоза"))</f>
        <v/>
      </c>
      <c r="I56" s="31" t="str">
        <f aca="false">IF(B56="","",N(E56)-N(F56)-G56-H56)</f>
        <v/>
      </c>
      <c r="J56" s="32" t="str">
        <f aca="false">IF(B56="","",SUMIFS(Заказы!$I$4:$I$1003,Заказы!$E$4:$E$1003,B56,Заказы!$O$4:$O$1003,"Выполнен"))</f>
        <v/>
      </c>
      <c r="K56" s="32" t="str">
        <f aca="false">IF(B56="","",SUMIFS(Заказы!$M$4:$M$1003,Заказы!$E$4:$E$1003,B56,Заказы!$O$4:$O$1003,"Выполнен"))</f>
        <v/>
      </c>
      <c r="L56" s="32" t="str">
        <f aca="false">IF(B56="","",SUMIFS(Заказы!$I$4:$I$1003,Заказы!$E$4:$E$1003,B56,Заказы!$O$4:$O$1003,"Ожидает отправки")+SUMIFS(Заказы!$I$4:$I$1003,Заказы!$E$4:$E$1003,B56,Заказы!$O$4:$O$1003,"Отправлен (в пути)")+SUMIFS(Заказы!$I$4:$I$1003,Заказы!$E$4:$E$1003,B56,Заказы!$O$4:$O$1003,"Ожидает самовывоза"))</f>
        <v/>
      </c>
      <c r="M56" s="33" t="str">
        <f aca="false">IF(OR(B56="",N(J56)=0),"",K56/J56)</f>
        <v/>
      </c>
      <c r="N56" s="28"/>
    </row>
    <row r="57" customFormat="false" ht="15" hidden="false" customHeight="false" outlineLevel="0" collapsed="false">
      <c r="A57" s="27" t="str">
        <f aca="false">IF(B57="","",ROW()-3)</f>
        <v/>
      </c>
      <c r="B57" s="28"/>
      <c r="C57" s="29"/>
      <c r="D57" s="29"/>
      <c r="E57" s="30"/>
      <c r="F57" s="30"/>
      <c r="G57" s="31" t="str">
        <f aca="false">IF(B57="","",SUMIFS(Заказы!$F$4:$F$1003,Заказы!$E$4:$E$1003,B57,Заказы!$O$4:$O$1003,"Выполнен"))</f>
        <v/>
      </c>
      <c r="H57" s="31" t="str">
        <f aca="false">IF(B57="","",SUMIFS(Заказы!$F$4:$F$1003,Заказы!$E$4:$E$1003,B57,Заказы!$O$4:$O$1003,"Ожидает отправки")+SUMIFS(Заказы!$F$4:$F$1003,Заказы!$E$4:$E$1003,B57,Заказы!$O$4:$O$1003,"Отправлен (в пути)")+SUMIFS(Заказы!$F$4:$F$1003,Заказы!$E$4:$E$1003,B57,Заказы!$O$4:$O$1003,"Ожидает самовывоза"))</f>
        <v/>
      </c>
      <c r="I57" s="31" t="str">
        <f aca="false">IF(B57="","",N(E57)-N(F57)-G57-H57)</f>
        <v/>
      </c>
      <c r="J57" s="32" t="str">
        <f aca="false">IF(B57="","",SUMIFS(Заказы!$I$4:$I$1003,Заказы!$E$4:$E$1003,B57,Заказы!$O$4:$O$1003,"Выполнен"))</f>
        <v/>
      </c>
      <c r="K57" s="32" t="str">
        <f aca="false">IF(B57="","",SUMIFS(Заказы!$M$4:$M$1003,Заказы!$E$4:$E$1003,B57,Заказы!$O$4:$O$1003,"Выполнен"))</f>
        <v/>
      </c>
      <c r="L57" s="32" t="str">
        <f aca="false">IF(B57="","",SUMIFS(Заказы!$I$4:$I$1003,Заказы!$E$4:$E$1003,B57,Заказы!$O$4:$O$1003,"Ожидает отправки")+SUMIFS(Заказы!$I$4:$I$1003,Заказы!$E$4:$E$1003,B57,Заказы!$O$4:$O$1003,"Отправлен (в пути)")+SUMIFS(Заказы!$I$4:$I$1003,Заказы!$E$4:$E$1003,B57,Заказы!$O$4:$O$1003,"Ожидает самовывоза"))</f>
        <v/>
      </c>
      <c r="M57" s="33" t="str">
        <f aca="false">IF(OR(B57="",N(J57)=0),"",K57/J57)</f>
        <v/>
      </c>
      <c r="N57" s="28"/>
    </row>
    <row r="58" customFormat="false" ht="15" hidden="false" customHeight="false" outlineLevel="0" collapsed="false">
      <c r="A58" s="27" t="str">
        <f aca="false">IF(B58="","",ROW()-3)</f>
        <v/>
      </c>
      <c r="B58" s="28"/>
      <c r="C58" s="29"/>
      <c r="D58" s="29"/>
      <c r="E58" s="30"/>
      <c r="F58" s="30"/>
      <c r="G58" s="31" t="str">
        <f aca="false">IF(B58="","",SUMIFS(Заказы!$F$4:$F$1003,Заказы!$E$4:$E$1003,B58,Заказы!$O$4:$O$1003,"Выполнен"))</f>
        <v/>
      </c>
      <c r="H58" s="31" t="str">
        <f aca="false">IF(B58="","",SUMIFS(Заказы!$F$4:$F$1003,Заказы!$E$4:$E$1003,B58,Заказы!$O$4:$O$1003,"Ожидает отправки")+SUMIFS(Заказы!$F$4:$F$1003,Заказы!$E$4:$E$1003,B58,Заказы!$O$4:$O$1003,"Отправлен (в пути)")+SUMIFS(Заказы!$F$4:$F$1003,Заказы!$E$4:$E$1003,B58,Заказы!$O$4:$O$1003,"Ожидает самовывоза"))</f>
        <v/>
      </c>
      <c r="I58" s="31" t="str">
        <f aca="false">IF(B58="","",N(E58)-N(F58)-G58-H58)</f>
        <v/>
      </c>
      <c r="J58" s="32" t="str">
        <f aca="false">IF(B58="","",SUMIFS(Заказы!$I$4:$I$1003,Заказы!$E$4:$E$1003,B58,Заказы!$O$4:$O$1003,"Выполнен"))</f>
        <v/>
      </c>
      <c r="K58" s="32" t="str">
        <f aca="false">IF(B58="","",SUMIFS(Заказы!$M$4:$M$1003,Заказы!$E$4:$E$1003,B58,Заказы!$O$4:$O$1003,"Выполнен"))</f>
        <v/>
      </c>
      <c r="L58" s="32" t="str">
        <f aca="false">IF(B58="","",SUMIFS(Заказы!$I$4:$I$1003,Заказы!$E$4:$E$1003,B58,Заказы!$O$4:$O$1003,"Ожидает отправки")+SUMIFS(Заказы!$I$4:$I$1003,Заказы!$E$4:$E$1003,B58,Заказы!$O$4:$O$1003,"Отправлен (в пути)")+SUMIFS(Заказы!$I$4:$I$1003,Заказы!$E$4:$E$1003,B58,Заказы!$O$4:$O$1003,"Ожидает самовывоза"))</f>
        <v/>
      </c>
      <c r="M58" s="33" t="str">
        <f aca="false">IF(OR(B58="",N(J58)=0),"",K58/J58)</f>
        <v/>
      </c>
      <c r="N58" s="28"/>
    </row>
    <row r="59" customFormat="false" ht="15" hidden="false" customHeight="false" outlineLevel="0" collapsed="false">
      <c r="A59" s="27" t="str">
        <f aca="false">IF(B59="","",ROW()-3)</f>
        <v/>
      </c>
      <c r="B59" s="28"/>
      <c r="C59" s="29"/>
      <c r="D59" s="29"/>
      <c r="E59" s="30"/>
      <c r="F59" s="30"/>
      <c r="G59" s="31" t="str">
        <f aca="false">IF(B59="","",SUMIFS(Заказы!$F$4:$F$1003,Заказы!$E$4:$E$1003,B59,Заказы!$O$4:$O$1003,"Выполнен"))</f>
        <v/>
      </c>
      <c r="H59" s="31" t="str">
        <f aca="false">IF(B59="","",SUMIFS(Заказы!$F$4:$F$1003,Заказы!$E$4:$E$1003,B59,Заказы!$O$4:$O$1003,"Ожидает отправки")+SUMIFS(Заказы!$F$4:$F$1003,Заказы!$E$4:$E$1003,B59,Заказы!$O$4:$O$1003,"Отправлен (в пути)")+SUMIFS(Заказы!$F$4:$F$1003,Заказы!$E$4:$E$1003,B59,Заказы!$O$4:$O$1003,"Ожидает самовывоза"))</f>
        <v/>
      </c>
      <c r="I59" s="31" t="str">
        <f aca="false">IF(B59="","",N(E59)-N(F59)-G59-H59)</f>
        <v/>
      </c>
      <c r="J59" s="32" t="str">
        <f aca="false">IF(B59="","",SUMIFS(Заказы!$I$4:$I$1003,Заказы!$E$4:$E$1003,B59,Заказы!$O$4:$O$1003,"Выполнен"))</f>
        <v/>
      </c>
      <c r="K59" s="32" t="str">
        <f aca="false">IF(B59="","",SUMIFS(Заказы!$M$4:$M$1003,Заказы!$E$4:$E$1003,B59,Заказы!$O$4:$O$1003,"Выполнен"))</f>
        <v/>
      </c>
      <c r="L59" s="32" t="str">
        <f aca="false">IF(B59="","",SUMIFS(Заказы!$I$4:$I$1003,Заказы!$E$4:$E$1003,B59,Заказы!$O$4:$O$1003,"Ожидает отправки")+SUMIFS(Заказы!$I$4:$I$1003,Заказы!$E$4:$E$1003,B59,Заказы!$O$4:$O$1003,"Отправлен (в пути)")+SUMIFS(Заказы!$I$4:$I$1003,Заказы!$E$4:$E$1003,B59,Заказы!$O$4:$O$1003,"Ожидает самовывоза"))</f>
        <v/>
      </c>
      <c r="M59" s="33" t="str">
        <f aca="false">IF(OR(B59="",N(J59)=0),"",K59/J59)</f>
        <v/>
      </c>
      <c r="N59" s="28"/>
    </row>
    <row r="60" customFormat="false" ht="15" hidden="false" customHeight="false" outlineLevel="0" collapsed="false">
      <c r="A60" s="27" t="str">
        <f aca="false">IF(B60="","",ROW()-3)</f>
        <v/>
      </c>
      <c r="B60" s="28"/>
      <c r="C60" s="29"/>
      <c r="D60" s="29"/>
      <c r="E60" s="30"/>
      <c r="F60" s="30"/>
      <c r="G60" s="31" t="str">
        <f aca="false">IF(B60="","",SUMIFS(Заказы!$F$4:$F$1003,Заказы!$E$4:$E$1003,B60,Заказы!$O$4:$O$1003,"Выполнен"))</f>
        <v/>
      </c>
      <c r="H60" s="31" t="str">
        <f aca="false">IF(B60="","",SUMIFS(Заказы!$F$4:$F$1003,Заказы!$E$4:$E$1003,B60,Заказы!$O$4:$O$1003,"Ожидает отправки")+SUMIFS(Заказы!$F$4:$F$1003,Заказы!$E$4:$E$1003,B60,Заказы!$O$4:$O$1003,"Отправлен (в пути)")+SUMIFS(Заказы!$F$4:$F$1003,Заказы!$E$4:$E$1003,B60,Заказы!$O$4:$O$1003,"Ожидает самовывоза"))</f>
        <v/>
      </c>
      <c r="I60" s="31" t="str">
        <f aca="false">IF(B60="","",N(E60)-N(F60)-G60-H60)</f>
        <v/>
      </c>
      <c r="J60" s="32" t="str">
        <f aca="false">IF(B60="","",SUMIFS(Заказы!$I$4:$I$1003,Заказы!$E$4:$E$1003,B60,Заказы!$O$4:$O$1003,"Выполнен"))</f>
        <v/>
      </c>
      <c r="K60" s="32" t="str">
        <f aca="false">IF(B60="","",SUMIFS(Заказы!$M$4:$M$1003,Заказы!$E$4:$E$1003,B60,Заказы!$O$4:$O$1003,"Выполнен"))</f>
        <v/>
      </c>
      <c r="L60" s="32" t="str">
        <f aca="false">IF(B60="","",SUMIFS(Заказы!$I$4:$I$1003,Заказы!$E$4:$E$1003,B60,Заказы!$O$4:$O$1003,"Ожидает отправки")+SUMIFS(Заказы!$I$4:$I$1003,Заказы!$E$4:$E$1003,B60,Заказы!$O$4:$O$1003,"Отправлен (в пути)")+SUMIFS(Заказы!$I$4:$I$1003,Заказы!$E$4:$E$1003,B60,Заказы!$O$4:$O$1003,"Ожидает самовывоза"))</f>
        <v/>
      </c>
      <c r="M60" s="33" t="str">
        <f aca="false">IF(OR(B60="",N(J60)=0),"",K60/J60)</f>
        <v/>
      </c>
      <c r="N60" s="28"/>
    </row>
    <row r="61" customFormat="false" ht="15" hidden="false" customHeight="false" outlineLevel="0" collapsed="false">
      <c r="A61" s="27" t="str">
        <f aca="false">IF(B61="","",ROW()-3)</f>
        <v/>
      </c>
      <c r="B61" s="28"/>
      <c r="C61" s="29"/>
      <c r="D61" s="29"/>
      <c r="E61" s="30"/>
      <c r="F61" s="30"/>
      <c r="G61" s="31" t="str">
        <f aca="false">IF(B61="","",SUMIFS(Заказы!$F$4:$F$1003,Заказы!$E$4:$E$1003,B61,Заказы!$O$4:$O$1003,"Выполнен"))</f>
        <v/>
      </c>
      <c r="H61" s="31" t="str">
        <f aca="false">IF(B61="","",SUMIFS(Заказы!$F$4:$F$1003,Заказы!$E$4:$E$1003,B61,Заказы!$O$4:$O$1003,"Ожидает отправки")+SUMIFS(Заказы!$F$4:$F$1003,Заказы!$E$4:$E$1003,B61,Заказы!$O$4:$O$1003,"Отправлен (в пути)")+SUMIFS(Заказы!$F$4:$F$1003,Заказы!$E$4:$E$1003,B61,Заказы!$O$4:$O$1003,"Ожидает самовывоза"))</f>
        <v/>
      </c>
      <c r="I61" s="31" t="str">
        <f aca="false">IF(B61="","",N(E61)-N(F61)-G61-H61)</f>
        <v/>
      </c>
      <c r="J61" s="32" t="str">
        <f aca="false">IF(B61="","",SUMIFS(Заказы!$I$4:$I$1003,Заказы!$E$4:$E$1003,B61,Заказы!$O$4:$O$1003,"Выполнен"))</f>
        <v/>
      </c>
      <c r="K61" s="32" t="str">
        <f aca="false">IF(B61="","",SUMIFS(Заказы!$M$4:$M$1003,Заказы!$E$4:$E$1003,B61,Заказы!$O$4:$O$1003,"Выполнен"))</f>
        <v/>
      </c>
      <c r="L61" s="32" t="str">
        <f aca="false">IF(B61="","",SUMIFS(Заказы!$I$4:$I$1003,Заказы!$E$4:$E$1003,B61,Заказы!$O$4:$O$1003,"Ожидает отправки")+SUMIFS(Заказы!$I$4:$I$1003,Заказы!$E$4:$E$1003,B61,Заказы!$O$4:$O$1003,"Отправлен (в пути)")+SUMIFS(Заказы!$I$4:$I$1003,Заказы!$E$4:$E$1003,B61,Заказы!$O$4:$O$1003,"Ожидает самовывоза"))</f>
        <v/>
      </c>
      <c r="M61" s="33" t="str">
        <f aca="false">IF(OR(B61="",N(J61)=0),"",K61/J61)</f>
        <v/>
      </c>
      <c r="N61" s="28"/>
    </row>
    <row r="62" customFormat="false" ht="15" hidden="false" customHeight="false" outlineLevel="0" collapsed="false">
      <c r="A62" s="27" t="str">
        <f aca="false">IF(B62="","",ROW()-3)</f>
        <v/>
      </c>
      <c r="B62" s="28"/>
      <c r="C62" s="29"/>
      <c r="D62" s="29"/>
      <c r="E62" s="30"/>
      <c r="F62" s="30"/>
      <c r="G62" s="31" t="str">
        <f aca="false">IF(B62="","",SUMIFS(Заказы!$F$4:$F$1003,Заказы!$E$4:$E$1003,B62,Заказы!$O$4:$O$1003,"Выполнен"))</f>
        <v/>
      </c>
      <c r="H62" s="31" t="str">
        <f aca="false">IF(B62="","",SUMIFS(Заказы!$F$4:$F$1003,Заказы!$E$4:$E$1003,B62,Заказы!$O$4:$O$1003,"Ожидает отправки")+SUMIFS(Заказы!$F$4:$F$1003,Заказы!$E$4:$E$1003,B62,Заказы!$O$4:$O$1003,"Отправлен (в пути)")+SUMIFS(Заказы!$F$4:$F$1003,Заказы!$E$4:$E$1003,B62,Заказы!$O$4:$O$1003,"Ожидает самовывоза"))</f>
        <v/>
      </c>
      <c r="I62" s="31" t="str">
        <f aca="false">IF(B62="","",N(E62)-N(F62)-G62-H62)</f>
        <v/>
      </c>
      <c r="J62" s="32" t="str">
        <f aca="false">IF(B62="","",SUMIFS(Заказы!$I$4:$I$1003,Заказы!$E$4:$E$1003,B62,Заказы!$O$4:$O$1003,"Выполнен"))</f>
        <v/>
      </c>
      <c r="K62" s="32" t="str">
        <f aca="false">IF(B62="","",SUMIFS(Заказы!$M$4:$M$1003,Заказы!$E$4:$E$1003,B62,Заказы!$O$4:$O$1003,"Выполнен"))</f>
        <v/>
      </c>
      <c r="L62" s="32" t="str">
        <f aca="false">IF(B62="","",SUMIFS(Заказы!$I$4:$I$1003,Заказы!$E$4:$E$1003,B62,Заказы!$O$4:$O$1003,"Ожидает отправки")+SUMIFS(Заказы!$I$4:$I$1003,Заказы!$E$4:$E$1003,B62,Заказы!$O$4:$O$1003,"Отправлен (в пути)")+SUMIFS(Заказы!$I$4:$I$1003,Заказы!$E$4:$E$1003,B62,Заказы!$O$4:$O$1003,"Ожидает самовывоза"))</f>
        <v/>
      </c>
      <c r="M62" s="33" t="str">
        <f aca="false">IF(OR(B62="",N(J62)=0),"",K62/J62)</f>
        <v/>
      </c>
      <c r="N62" s="28"/>
    </row>
    <row r="63" customFormat="false" ht="15" hidden="false" customHeight="false" outlineLevel="0" collapsed="false">
      <c r="A63" s="27" t="str">
        <f aca="false">IF(B63="","",ROW()-3)</f>
        <v/>
      </c>
      <c r="B63" s="28"/>
      <c r="C63" s="29"/>
      <c r="D63" s="29"/>
      <c r="E63" s="30"/>
      <c r="F63" s="30"/>
      <c r="G63" s="31" t="str">
        <f aca="false">IF(B63="","",SUMIFS(Заказы!$F$4:$F$1003,Заказы!$E$4:$E$1003,B63,Заказы!$O$4:$O$1003,"Выполнен"))</f>
        <v/>
      </c>
      <c r="H63" s="31" t="str">
        <f aca="false">IF(B63="","",SUMIFS(Заказы!$F$4:$F$1003,Заказы!$E$4:$E$1003,B63,Заказы!$O$4:$O$1003,"Ожидает отправки")+SUMIFS(Заказы!$F$4:$F$1003,Заказы!$E$4:$E$1003,B63,Заказы!$O$4:$O$1003,"Отправлен (в пути)")+SUMIFS(Заказы!$F$4:$F$1003,Заказы!$E$4:$E$1003,B63,Заказы!$O$4:$O$1003,"Ожидает самовывоза"))</f>
        <v/>
      </c>
      <c r="I63" s="31" t="str">
        <f aca="false">IF(B63="","",N(E63)-N(F63)-G63-H63)</f>
        <v/>
      </c>
      <c r="J63" s="32" t="str">
        <f aca="false">IF(B63="","",SUMIFS(Заказы!$I$4:$I$1003,Заказы!$E$4:$E$1003,B63,Заказы!$O$4:$O$1003,"Выполнен"))</f>
        <v/>
      </c>
      <c r="K63" s="32" t="str">
        <f aca="false">IF(B63="","",SUMIFS(Заказы!$M$4:$M$1003,Заказы!$E$4:$E$1003,B63,Заказы!$O$4:$O$1003,"Выполнен"))</f>
        <v/>
      </c>
      <c r="L63" s="32" t="str">
        <f aca="false">IF(B63="","",SUMIFS(Заказы!$I$4:$I$1003,Заказы!$E$4:$E$1003,B63,Заказы!$O$4:$O$1003,"Ожидает отправки")+SUMIFS(Заказы!$I$4:$I$1003,Заказы!$E$4:$E$1003,B63,Заказы!$O$4:$O$1003,"Отправлен (в пути)")+SUMIFS(Заказы!$I$4:$I$1003,Заказы!$E$4:$E$1003,B63,Заказы!$O$4:$O$1003,"Ожидает самовывоза"))</f>
        <v/>
      </c>
      <c r="M63" s="33" t="str">
        <f aca="false">IF(OR(B63="",N(J63)=0),"",K63/J63)</f>
        <v/>
      </c>
      <c r="N63" s="28"/>
    </row>
    <row r="64" customFormat="false" ht="15" hidden="false" customHeight="false" outlineLevel="0" collapsed="false">
      <c r="A64" s="17"/>
      <c r="B64" s="17" t="s">
        <v>118</v>
      </c>
      <c r="C64" s="17"/>
      <c r="D64" s="17"/>
      <c r="E64" s="18" t="n">
        <f aca="false">SUM(E4:E63)</f>
        <v>171</v>
      </c>
      <c r="F64" s="18" t="n">
        <f aca="false">SUM(F4:F63)</f>
        <v>56</v>
      </c>
      <c r="G64" s="18" t="n">
        <f aca="false">SUM(G4:G63)</f>
        <v>2</v>
      </c>
      <c r="H64" s="18" t="n">
        <f aca="false">SUM(H4:H63)</f>
        <v>2</v>
      </c>
      <c r="I64" s="18" t="n">
        <f aca="false">SUM(I4:I63)</f>
        <v>111</v>
      </c>
      <c r="J64" s="19" t="n">
        <f aca="false">SUM(J4:J63)</f>
        <v>9500</v>
      </c>
      <c r="K64" s="19" t="n">
        <f aca="false">SUM(K4:K63)</f>
        <v>2500</v>
      </c>
      <c r="L64" s="19" t="n">
        <f aca="false">SUM(L4:L63)</f>
        <v>13200</v>
      </c>
      <c r="M64" s="17"/>
      <c r="N64" s="17"/>
    </row>
  </sheetData>
  <conditionalFormatting sqref="I4:I63">
    <cfRule type="expression" priority="2" aboveAverage="0" equalAverage="0" bottom="0" percent="0" rank="0" text="" dxfId="2">
      <formula>AND($B4&lt;&gt;"",$I4&lt;=0)</formula>
    </cfRule>
    <cfRule type="expression" priority="3" aboveAverage="0" equalAverage="0" bottom="0" percent="0" rank="0" text="" dxfId="1">
      <formula>AND($B4&lt;&gt;"",$I4=1)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12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22" t="s">
        <v>119</v>
      </c>
    </row>
    <row r="2" customFormat="false" ht="15" hidden="false" customHeight="false" outlineLevel="0" collapsed="false">
      <c r="A2" s="3" t="s">
        <v>120</v>
      </c>
    </row>
    <row r="3" customFormat="false" ht="31.5" hidden="false" customHeight="true" outlineLevel="0" collapsed="false">
      <c r="A3" s="26" t="s">
        <v>78</v>
      </c>
      <c r="B3" s="26" t="s">
        <v>121</v>
      </c>
      <c r="C3" s="26" t="s">
        <v>122</v>
      </c>
      <c r="D3" s="26" t="s">
        <v>123</v>
      </c>
      <c r="E3" s="26" t="s">
        <v>79</v>
      </c>
      <c r="F3" s="26" t="s">
        <v>124</v>
      </c>
      <c r="G3" s="26" t="s">
        <v>125</v>
      </c>
      <c r="H3" s="26" t="s">
        <v>126</v>
      </c>
      <c r="I3" s="26" t="s">
        <v>127</v>
      </c>
      <c r="J3" s="26" t="s">
        <v>128</v>
      </c>
      <c r="K3" s="26" t="s">
        <v>129</v>
      </c>
      <c r="L3" s="26" t="s">
        <v>130</v>
      </c>
      <c r="M3" s="26" t="s">
        <v>131</v>
      </c>
      <c r="N3" s="26" t="s">
        <v>132</v>
      </c>
      <c r="O3" s="26" t="s">
        <v>133</v>
      </c>
      <c r="P3" s="26" t="s">
        <v>134</v>
      </c>
      <c r="Q3" s="26" t="s">
        <v>135</v>
      </c>
      <c r="R3" s="26" t="s">
        <v>136</v>
      </c>
      <c r="S3" s="26" t="s">
        <v>91</v>
      </c>
    </row>
    <row r="4" customFormat="false" ht="15" hidden="false" customHeight="false" outlineLevel="0" collapsed="false">
      <c r="A4" s="34" t="n">
        <f aca="false">IF(E4="","",ROW()-3)</f>
        <v>1</v>
      </c>
      <c r="B4" s="35" t="n">
        <v>46315</v>
      </c>
      <c r="C4" s="28" t="s">
        <v>137</v>
      </c>
      <c r="D4" s="28" t="s">
        <v>138</v>
      </c>
      <c r="E4" s="28" t="s">
        <v>92</v>
      </c>
      <c r="F4" s="28" t="n">
        <v>2</v>
      </c>
      <c r="G4" s="32" t="n">
        <f aca="false">IF(E4="","",IFERROR(INDEX(Товары!$D$4:$D$200,MATCH(E4,Товары!$B$4:$B$200,0)),0))</f>
        <v>5000</v>
      </c>
      <c r="H4" s="29" t="n">
        <v>500</v>
      </c>
      <c r="I4" s="32" t="n">
        <f aca="false">IF(OR(E4="",F4=""),"",F4*G4-N(H4))</f>
        <v>9500</v>
      </c>
      <c r="J4" s="29"/>
      <c r="K4" s="32" t="n">
        <f aca="false">IF(AND(I4="",N(J4)=0),"",N(I4)+N(J4))</f>
        <v>9500</v>
      </c>
      <c r="L4" s="32" t="n">
        <f aca="false">IF(OR(E4="",F4=""),"",F4*IFERROR(INDEX(Товары!$C$4:$C$200,MATCH(E4,Товары!$B$4:$B$200,0)),0))</f>
        <v>7000</v>
      </c>
      <c r="M4" s="32" t="n">
        <f aca="false">IF(I4="","",I4-L4)</f>
        <v>2500</v>
      </c>
      <c r="N4" s="28" t="s">
        <v>39</v>
      </c>
      <c r="O4" s="28" t="s">
        <v>139</v>
      </c>
      <c r="P4" s="28" t="s">
        <v>140</v>
      </c>
      <c r="Q4" s="28"/>
      <c r="R4" s="35" t="n">
        <v>46315</v>
      </c>
      <c r="S4" s="28" t="s">
        <v>141</v>
      </c>
    </row>
    <row r="5" customFormat="false" ht="15" hidden="false" customHeight="false" outlineLevel="0" collapsed="false">
      <c r="A5" s="34" t="n">
        <f aca="false">IF(E5="","",ROW()-3)</f>
        <v>2</v>
      </c>
      <c r="B5" s="35" t="n">
        <v>46317</v>
      </c>
      <c r="C5" s="28" t="s">
        <v>142</v>
      </c>
      <c r="D5" s="28" t="s">
        <v>143</v>
      </c>
      <c r="E5" s="28" t="s">
        <v>101</v>
      </c>
      <c r="F5" s="28" t="n">
        <v>1</v>
      </c>
      <c r="G5" s="32" t="n">
        <f aca="false">IF(E5="","",IFERROR(INDEX(Товары!$D$4:$D$200,MATCH(E5,Товары!$B$4:$B$200,0)),0))</f>
        <v>1700</v>
      </c>
      <c r="H5" s="29"/>
      <c r="I5" s="32" t="n">
        <f aca="false">IF(OR(E5="",F5=""),"",F5*G5-N(H5))</f>
        <v>1700</v>
      </c>
      <c r="J5" s="29" t="n">
        <v>400</v>
      </c>
      <c r="K5" s="32" t="n">
        <f aca="false">IF(AND(I5="",N(J5)=0),"",N(I5)+N(J5))</f>
        <v>2100</v>
      </c>
      <c r="L5" s="32" t="n">
        <f aca="false">IF(OR(E5="",F5=""),"",F5*IFERROR(INDEX(Товары!$C$4:$C$200,MATCH(E5,Товары!$B$4:$B$200,0)),0))</f>
        <v>1000</v>
      </c>
      <c r="M5" s="32" t="n">
        <f aca="false">IF(I5="","",I5-L5)</f>
        <v>700</v>
      </c>
      <c r="N5" s="28" t="s">
        <v>41</v>
      </c>
      <c r="O5" s="28" t="s">
        <v>144</v>
      </c>
      <c r="P5" s="28" t="s">
        <v>145</v>
      </c>
      <c r="Q5" s="28" t="s">
        <v>146</v>
      </c>
      <c r="R5" s="35"/>
      <c r="S5" s="28" t="s">
        <v>141</v>
      </c>
    </row>
    <row r="6" customFormat="false" ht="15" hidden="false" customHeight="false" outlineLevel="0" collapsed="false">
      <c r="A6" s="34" t="n">
        <f aca="false">IF(E6="","",ROW()-3)</f>
        <v>3</v>
      </c>
      <c r="B6" s="35" t="n">
        <v>46318</v>
      </c>
      <c r="C6" s="28" t="s">
        <v>147</v>
      </c>
      <c r="D6" s="28" t="s">
        <v>148</v>
      </c>
      <c r="E6" s="28" t="s">
        <v>111</v>
      </c>
      <c r="F6" s="28" t="n">
        <v>1</v>
      </c>
      <c r="G6" s="32" t="n">
        <f aca="false">IF(E6="","",IFERROR(INDEX(Товары!$D$4:$D$200,MATCH(E6,Товары!$B$4:$B$200,0)),0))</f>
        <v>12500</v>
      </c>
      <c r="H6" s="29" t="n">
        <v>1000</v>
      </c>
      <c r="I6" s="32" t="n">
        <f aca="false">IF(OR(E6="",F6=""),"",F6*G6-N(H6))</f>
        <v>11500</v>
      </c>
      <c r="J6" s="29" t="n">
        <v>300</v>
      </c>
      <c r="K6" s="32" t="n">
        <f aca="false">IF(AND(I6="",N(J6)=0),"",N(I6)+N(J6))</f>
        <v>11800</v>
      </c>
      <c r="L6" s="32" t="n">
        <f aca="false">IF(OR(E6="",F6=""),"",F6*IFERROR(INDEX(Товары!$C$4:$C$200,MATCH(E6,Товары!$B$4:$B$200,0)),0))</f>
        <v>7000</v>
      </c>
      <c r="M6" s="32" t="n">
        <f aca="false">IF(I6="","",I6-L6)</f>
        <v>4500</v>
      </c>
      <c r="N6" s="28" t="s">
        <v>42</v>
      </c>
      <c r="O6" s="28" t="s">
        <v>149</v>
      </c>
      <c r="P6" s="28" t="s">
        <v>150</v>
      </c>
      <c r="Q6" s="28"/>
      <c r="R6" s="35"/>
      <c r="S6" s="28" t="s">
        <v>141</v>
      </c>
    </row>
    <row r="7" customFormat="false" ht="15" hidden="false" customHeight="false" outlineLevel="0" collapsed="false">
      <c r="A7" s="34" t="str">
        <f aca="false">IF(E7="","",ROW()-3)</f>
        <v/>
      </c>
      <c r="B7" s="35"/>
      <c r="C7" s="28"/>
      <c r="D7" s="28"/>
      <c r="E7" s="28"/>
      <c r="F7" s="28"/>
      <c r="G7" s="32" t="str">
        <f aca="false">IF(E7="","",IFERROR(INDEX(Товары!$D$4:$D$200,MATCH(E7,Товары!$B$4:$B$200,0)),0))</f>
        <v/>
      </c>
      <c r="H7" s="29"/>
      <c r="I7" s="32" t="str">
        <f aca="false">IF(OR(E7="",F7=""),"",F7*G7-N(H7))</f>
        <v/>
      </c>
      <c r="J7" s="29"/>
      <c r="K7" s="32" t="str">
        <f aca="false">IF(AND(I7="",N(J7)=0),"",N(I7)+N(J7))</f>
        <v/>
      </c>
      <c r="L7" s="32" t="str">
        <f aca="false">IF(OR(E7="",F7=""),"",F7*IFERROR(INDEX(Товары!$C$4:$C$200,MATCH(E7,Товары!$B$4:$B$200,0)),0))</f>
        <v/>
      </c>
      <c r="M7" s="32" t="str">
        <f aca="false">IF(I7="","",I7-L7)</f>
        <v/>
      </c>
      <c r="N7" s="28"/>
      <c r="O7" s="28"/>
      <c r="P7" s="28"/>
      <c r="Q7" s="28"/>
      <c r="R7" s="35"/>
      <c r="S7" s="28"/>
    </row>
    <row r="8" customFormat="false" ht="15" hidden="false" customHeight="false" outlineLevel="0" collapsed="false">
      <c r="A8" s="34" t="str">
        <f aca="false">IF(E8="","",ROW()-3)</f>
        <v/>
      </c>
      <c r="B8" s="35"/>
      <c r="C8" s="28"/>
      <c r="D8" s="28"/>
      <c r="E8" s="28"/>
      <c r="F8" s="28"/>
      <c r="G8" s="32" t="str">
        <f aca="false">IF(E8="","",IFERROR(INDEX(Товары!$D$4:$D$200,MATCH(E8,Товары!$B$4:$B$200,0)),0))</f>
        <v/>
      </c>
      <c r="H8" s="29"/>
      <c r="I8" s="32" t="str">
        <f aca="false">IF(OR(E8="",F8=""),"",F8*G8-N(H8))</f>
        <v/>
      </c>
      <c r="J8" s="29"/>
      <c r="K8" s="32" t="str">
        <f aca="false">IF(AND(I8="",N(J8)=0),"",N(I8)+N(J8))</f>
        <v/>
      </c>
      <c r="L8" s="32" t="str">
        <f aca="false">IF(OR(E8="",F8=""),"",F8*IFERROR(INDEX(Товары!$C$4:$C$200,MATCH(E8,Товары!$B$4:$B$200,0)),0))</f>
        <v/>
      </c>
      <c r="M8" s="32" t="str">
        <f aca="false">IF(I8="","",I8-L8)</f>
        <v/>
      </c>
      <c r="N8" s="28"/>
      <c r="O8" s="28"/>
      <c r="P8" s="28"/>
      <c r="Q8" s="28"/>
      <c r="R8" s="35"/>
      <c r="S8" s="28"/>
    </row>
    <row r="9" customFormat="false" ht="15" hidden="false" customHeight="false" outlineLevel="0" collapsed="false">
      <c r="A9" s="34" t="str">
        <f aca="false">IF(E9="","",ROW()-3)</f>
        <v/>
      </c>
      <c r="B9" s="35"/>
      <c r="C9" s="28"/>
      <c r="D9" s="28"/>
      <c r="E9" s="28"/>
      <c r="F9" s="28"/>
      <c r="G9" s="32" t="str">
        <f aca="false">IF(E9="","",IFERROR(INDEX(Товары!$D$4:$D$200,MATCH(E9,Товары!$B$4:$B$200,0)),0))</f>
        <v/>
      </c>
      <c r="H9" s="29"/>
      <c r="I9" s="32" t="str">
        <f aca="false">IF(OR(E9="",F9=""),"",F9*G9-N(H9))</f>
        <v/>
      </c>
      <c r="J9" s="29"/>
      <c r="K9" s="32" t="str">
        <f aca="false">IF(AND(I9="",N(J9)=0),"",N(I9)+N(J9))</f>
        <v/>
      </c>
      <c r="L9" s="32" t="str">
        <f aca="false">IF(OR(E9="",F9=""),"",F9*IFERROR(INDEX(Товары!$C$4:$C$200,MATCH(E9,Товары!$B$4:$B$200,0)),0))</f>
        <v/>
      </c>
      <c r="M9" s="32" t="str">
        <f aca="false">IF(I9="","",I9-L9)</f>
        <v/>
      </c>
      <c r="N9" s="28"/>
      <c r="O9" s="28"/>
      <c r="P9" s="28"/>
      <c r="Q9" s="28"/>
      <c r="R9" s="35"/>
      <c r="S9" s="28"/>
    </row>
    <row r="10" customFormat="false" ht="15" hidden="false" customHeight="false" outlineLevel="0" collapsed="false">
      <c r="A10" s="34" t="str">
        <f aca="false">IF(E10="","",ROW()-3)</f>
        <v/>
      </c>
      <c r="B10" s="35"/>
      <c r="C10" s="28"/>
      <c r="D10" s="28"/>
      <c r="E10" s="28"/>
      <c r="F10" s="28"/>
      <c r="G10" s="32" t="str">
        <f aca="false">IF(E10="","",IFERROR(INDEX(Товары!$D$4:$D$200,MATCH(E10,Товары!$B$4:$B$200,0)),0))</f>
        <v/>
      </c>
      <c r="H10" s="29"/>
      <c r="I10" s="32" t="str">
        <f aca="false">IF(OR(E10="",F10=""),"",F10*G10-N(H10))</f>
        <v/>
      </c>
      <c r="J10" s="29"/>
      <c r="K10" s="32" t="str">
        <f aca="false">IF(AND(I10="",N(J10)=0),"",N(I10)+N(J10))</f>
        <v/>
      </c>
      <c r="L10" s="32" t="str">
        <f aca="false">IF(OR(E10="",F10=""),"",F10*IFERROR(INDEX(Товары!$C$4:$C$200,MATCH(E10,Товары!$B$4:$B$200,0)),0))</f>
        <v/>
      </c>
      <c r="M10" s="32" t="str">
        <f aca="false">IF(I10="","",I10-L10)</f>
        <v/>
      </c>
      <c r="N10" s="28"/>
      <c r="O10" s="28"/>
      <c r="P10" s="28"/>
      <c r="Q10" s="28"/>
      <c r="R10" s="35"/>
      <c r="S10" s="28"/>
    </row>
    <row r="11" customFormat="false" ht="15" hidden="false" customHeight="false" outlineLevel="0" collapsed="false">
      <c r="A11" s="34" t="str">
        <f aca="false">IF(E11="","",ROW()-3)</f>
        <v/>
      </c>
      <c r="B11" s="35"/>
      <c r="C11" s="28"/>
      <c r="D11" s="28"/>
      <c r="E11" s="28"/>
      <c r="F11" s="28"/>
      <c r="G11" s="32" t="str">
        <f aca="false">IF(E11="","",IFERROR(INDEX(Товары!$D$4:$D$200,MATCH(E11,Товары!$B$4:$B$200,0)),0))</f>
        <v/>
      </c>
      <c r="H11" s="29"/>
      <c r="I11" s="32" t="str">
        <f aca="false">IF(OR(E11="",F11=""),"",F11*G11-N(H11))</f>
        <v/>
      </c>
      <c r="J11" s="29"/>
      <c r="K11" s="32" t="str">
        <f aca="false">IF(AND(I11="",N(J11)=0),"",N(I11)+N(J11))</f>
        <v/>
      </c>
      <c r="L11" s="32" t="str">
        <f aca="false">IF(OR(E11="",F11=""),"",F11*IFERROR(INDEX(Товары!$C$4:$C$200,MATCH(E11,Товары!$B$4:$B$200,0)),0))</f>
        <v/>
      </c>
      <c r="M11" s="32" t="str">
        <f aca="false">IF(I11="","",I11-L11)</f>
        <v/>
      </c>
      <c r="N11" s="28"/>
      <c r="O11" s="28"/>
      <c r="P11" s="28"/>
      <c r="Q11" s="28"/>
      <c r="R11" s="35"/>
      <c r="S11" s="28"/>
    </row>
    <row r="12" customFormat="false" ht="15" hidden="false" customHeight="false" outlineLevel="0" collapsed="false">
      <c r="A12" s="34" t="str">
        <f aca="false">IF(E12="","",ROW()-3)</f>
        <v/>
      </c>
      <c r="B12" s="35"/>
      <c r="C12" s="28"/>
      <c r="D12" s="28"/>
      <c r="E12" s="28"/>
      <c r="F12" s="28"/>
      <c r="G12" s="32" t="str">
        <f aca="false">IF(E12="","",IFERROR(INDEX(Товары!$D$4:$D$200,MATCH(E12,Товары!$B$4:$B$200,0)),0))</f>
        <v/>
      </c>
      <c r="H12" s="29"/>
      <c r="I12" s="32" t="str">
        <f aca="false">IF(OR(E12="",F12=""),"",F12*G12-N(H12))</f>
        <v/>
      </c>
      <c r="J12" s="29"/>
      <c r="K12" s="32" t="str">
        <f aca="false">IF(AND(I12="",N(J12)=0),"",N(I12)+N(J12))</f>
        <v/>
      </c>
      <c r="L12" s="32" t="str">
        <f aca="false">IF(OR(E12="",F12=""),"",F12*IFERROR(INDEX(Товары!$C$4:$C$200,MATCH(E12,Товары!$B$4:$B$200,0)),0))</f>
        <v/>
      </c>
      <c r="M12" s="32" t="str">
        <f aca="false">IF(I12="","",I12-L12)</f>
        <v/>
      </c>
      <c r="N12" s="28"/>
      <c r="O12" s="28"/>
      <c r="P12" s="28"/>
      <c r="Q12" s="28"/>
      <c r="R12" s="35"/>
      <c r="S12" s="28"/>
    </row>
    <row r="13" customFormat="false" ht="15" hidden="false" customHeight="false" outlineLevel="0" collapsed="false">
      <c r="A13" s="34" t="str">
        <f aca="false">IF(E13="","",ROW()-3)</f>
        <v/>
      </c>
      <c r="B13" s="35"/>
      <c r="C13" s="28"/>
      <c r="D13" s="28"/>
      <c r="E13" s="28"/>
      <c r="F13" s="28"/>
      <c r="G13" s="32" t="str">
        <f aca="false">IF(E13="","",IFERROR(INDEX(Товары!$D$4:$D$200,MATCH(E13,Товары!$B$4:$B$200,0)),0))</f>
        <v/>
      </c>
      <c r="H13" s="29"/>
      <c r="I13" s="32" t="str">
        <f aca="false">IF(OR(E13="",F13=""),"",F13*G13-N(H13))</f>
        <v/>
      </c>
      <c r="J13" s="29"/>
      <c r="K13" s="32" t="str">
        <f aca="false">IF(AND(I13="",N(J13)=0),"",N(I13)+N(J13))</f>
        <v/>
      </c>
      <c r="L13" s="32" t="str">
        <f aca="false">IF(OR(E13="",F13=""),"",F13*IFERROR(INDEX(Товары!$C$4:$C$200,MATCH(E13,Товары!$B$4:$B$200,0)),0))</f>
        <v/>
      </c>
      <c r="M13" s="32" t="str">
        <f aca="false">IF(I13="","",I13-L13)</f>
        <v/>
      </c>
      <c r="N13" s="28"/>
      <c r="O13" s="28"/>
      <c r="P13" s="28"/>
      <c r="Q13" s="28"/>
      <c r="R13" s="35"/>
      <c r="S13" s="28"/>
    </row>
    <row r="14" customFormat="false" ht="15" hidden="false" customHeight="false" outlineLevel="0" collapsed="false">
      <c r="A14" s="34" t="str">
        <f aca="false">IF(E14="","",ROW()-3)</f>
        <v/>
      </c>
      <c r="B14" s="35"/>
      <c r="C14" s="28"/>
      <c r="D14" s="28"/>
      <c r="E14" s="28"/>
      <c r="F14" s="28"/>
      <c r="G14" s="32" t="str">
        <f aca="false">IF(E14="","",IFERROR(INDEX(Товары!$D$4:$D$200,MATCH(E14,Товары!$B$4:$B$200,0)),0))</f>
        <v/>
      </c>
      <c r="H14" s="29"/>
      <c r="I14" s="32" t="str">
        <f aca="false">IF(OR(E14="",F14=""),"",F14*G14-N(H14))</f>
        <v/>
      </c>
      <c r="J14" s="29"/>
      <c r="K14" s="32" t="str">
        <f aca="false">IF(AND(I14="",N(J14)=0),"",N(I14)+N(J14))</f>
        <v/>
      </c>
      <c r="L14" s="32" t="str">
        <f aca="false">IF(OR(E14="",F14=""),"",F14*IFERROR(INDEX(Товары!$C$4:$C$200,MATCH(E14,Товары!$B$4:$B$200,0)),0))</f>
        <v/>
      </c>
      <c r="M14" s="32" t="str">
        <f aca="false">IF(I14="","",I14-L14)</f>
        <v/>
      </c>
      <c r="N14" s="28"/>
      <c r="O14" s="28"/>
      <c r="P14" s="28"/>
      <c r="Q14" s="28"/>
      <c r="R14" s="35"/>
      <c r="S14" s="28"/>
    </row>
    <row r="15" customFormat="false" ht="15" hidden="false" customHeight="false" outlineLevel="0" collapsed="false">
      <c r="A15" s="34" t="str">
        <f aca="false">IF(E15="","",ROW()-3)</f>
        <v/>
      </c>
      <c r="B15" s="35"/>
      <c r="C15" s="28"/>
      <c r="D15" s="28"/>
      <c r="E15" s="28"/>
      <c r="F15" s="28"/>
      <c r="G15" s="32" t="str">
        <f aca="false">IF(E15="","",IFERROR(INDEX(Товары!$D$4:$D$200,MATCH(E15,Товары!$B$4:$B$200,0)),0))</f>
        <v/>
      </c>
      <c r="H15" s="29"/>
      <c r="I15" s="32" t="str">
        <f aca="false">IF(OR(E15="",F15=""),"",F15*G15-N(H15))</f>
        <v/>
      </c>
      <c r="J15" s="29"/>
      <c r="K15" s="32" t="str">
        <f aca="false">IF(AND(I15="",N(J15)=0),"",N(I15)+N(J15))</f>
        <v/>
      </c>
      <c r="L15" s="32" t="str">
        <f aca="false">IF(OR(E15="",F15=""),"",F15*IFERROR(INDEX(Товары!$C$4:$C$200,MATCH(E15,Товары!$B$4:$B$200,0)),0))</f>
        <v/>
      </c>
      <c r="M15" s="32" t="str">
        <f aca="false">IF(I15="","",I15-L15)</f>
        <v/>
      </c>
      <c r="N15" s="28"/>
      <c r="O15" s="28"/>
      <c r="P15" s="28"/>
      <c r="Q15" s="28"/>
      <c r="R15" s="35"/>
      <c r="S15" s="28"/>
    </row>
    <row r="16" customFormat="false" ht="15" hidden="false" customHeight="false" outlineLevel="0" collapsed="false">
      <c r="A16" s="34" t="str">
        <f aca="false">IF(E16="","",ROW()-3)</f>
        <v/>
      </c>
      <c r="B16" s="35"/>
      <c r="C16" s="28"/>
      <c r="D16" s="28"/>
      <c r="E16" s="28"/>
      <c r="F16" s="28"/>
      <c r="G16" s="32" t="str">
        <f aca="false">IF(E16="","",IFERROR(INDEX(Товары!$D$4:$D$200,MATCH(E16,Товары!$B$4:$B$200,0)),0))</f>
        <v/>
      </c>
      <c r="H16" s="29"/>
      <c r="I16" s="32" t="str">
        <f aca="false">IF(OR(E16="",F16=""),"",F16*G16-N(H16))</f>
        <v/>
      </c>
      <c r="J16" s="29"/>
      <c r="K16" s="32" t="str">
        <f aca="false">IF(AND(I16="",N(J16)=0),"",N(I16)+N(J16))</f>
        <v/>
      </c>
      <c r="L16" s="32" t="str">
        <f aca="false">IF(OR(E16="",F16=""),"",F16*IFERROR(INDEX(Товары!$C$4:$C$200,MATCH(E16,Товары!$B$4:$B$200,0)),0))</f>
        <v/>
      </c>
      <c r="M16" s="32" t="str">
        <f aca="false">IF(I16="","",I16-L16)</f>
        <v/>
      </c>
      <c r="N16" s="28"/>
      <c r="O16" s="28"/>
      <c r="P16" s="28"/>
      <c r="Q16" s="28"/>
      <c r="R16" s="35"/>
      <c r="S16" s="28"/>
    </row>
    <row r="17" customFormat="false" ht="15" hidden="false" customHeight="false" outlineLevel="0" collapsed="false">
      <c r="A17" s="34" t="str">
        <f aca="false">IF(E17="","",ROW()-3)</f>
        <v/>
      </c>
      <c r="B17" s="35"/>
      <c r="C17" s="28"/>
      <c r="D17" s="28"/>
      <c r="E17" s="28"/>
      <c r="F17" s="28"/>
      <c r="G17" s="32" t="str">
        <f aca="false">IF(E17="","",IFERROR(INDEX(Товары!$D$4:$D$200,MATCH(E17,Товары!$B$4:$B$200,0)),0))</f>
        <v/>
      </c>
      <c r="H17" s="29"/>
      <c r="I17" s="32" t="str">
        <f aca="false">IF(OR(E17="",F17=""),"",F17*G17-N(H17))</f>
        <v/>
      </c>
      <c r="J17" s="29"/>
      <c r="K17" s="32" t="str">
        <f aca="false">IF(AND(I17="",N(J17)=0),"",N(I17)+N(J17))</f>
        <v/>
      </c>
      <c r="L17" s="32" t="str">
        <f aca="false">IF(OR(E17="",F17=""),"",F17*IFERROR(INDEX(Товары!$C$4:$C$200,MATCH(E17,Товары!$B$4:$B$200,0)),0))</f>
        <v/>
      </c>
      <c r="M17" s="32" t="str">
        <f aca="false">IF(I17="","",I17-L17)</f>
        <v/>
      </c>
      <c r="N17" s="28"/>
      <c r="O17" s="28"/>
      <c r="P17" s="28"/>
      <c r="Q17" s="28"/>
      <c r="R17" s="35"/>
      <c r="S17" s="28"/>
    </row>
    <row r="18" customFormat="false" ht="15" hidden="false" customHeight="false" outlineLevel="0" collapsed="false">
      <c r="A18" s="34" t="str">
        <f aca="false">IF(E18="","",ROW()-3)</f>
        <v/>
      </c>
      <c r="B18" s="35"/>
      <c r="C18" s="28"/>
      <c r="D18" s="28"/>
      <c r="E18" s="28"/>
      <c r="F18" s="28"/>
      <c r="G18" s="32" t="str">
        <f aca="false">IF(E18="","",IFERROR(INDEX(Товары!$D$4:$D$200,MATCH(E18,Товары!$B$4:$B$200,0)),0))</f>
        <v/>
      </c>
      <c r="H18" s="29"/>
      <c r="I18" s="32" t="str">
        <f aca="false">IF(OR(E18="",F18=""),"",F18*G18-N(H18))</f>
        <v/>
      </c>
      <c r="J18" s="29"/>
      <c r="K18" s="32" t="str">
        <f aca="false">IF(AND(I18="",N(J18)=0),"",N(I18)+N(J18))</f>
        <v/>
      </c>
      <c r="L18" s="32" t="str">
        <f aca="false">IF(OR(E18="",F18=""),"",F18*IFERROR(INDEX(Товары!$C$4:$C$200,MATCH(E18,Товары!$B$4:$B$200,0)),0))</f>
        <v/>
      </c>
      <c r="M18" s="32" t="str">
        <f aca="false">IF(I18="","",I18-L18)</f>
        <v/>
      </c>
      <c r="N18" s="28"/>
      <c r="O18" s="28"/>
      <c r="P18" s="28"/>
      <c r="Q18" s="28"/>
      <c r="R18" s="35"/>
      <c r="S18" s="28"/>
    </row>
    <row r="19" customFormat="false" ht="15" hidden="false" customHeight="false" outlineLevel="0" collapsed="false">
      <c r="A19" s="34" t="str">
        <f aca="false">IF(E19="","",ROW()-3)</f>
        <v/>
      </c>
      <c r="B19" s="35"/>
      <c r="C19" s="28"/>
      <c r="D19" s="28"/>
      <c r="E19" s="28"/>
      <c r="F19" s="28"/>
      <c r="G19" s="32" t="str">
        <f aca="false">IF(E19="","",IFERROR(INDEX(Товары!$D$4:$D$200,MATCH(E19,Товары!$B$4:$B$200,0)),0))</f>
        <v/>
      </c>
      <c r="H19" s="29"/>
      <c r="I19" s="32" t="str">
        <f aca="false">IF(OR(E19="",F19=""),"",F19*G19-N(H19))</f>
        <v/>
      </c>
      <c r="J19" s="29"/>
      <c r="K19" s="32" t="str">
        <f aca="false">IF(AND(I19="",N(J19)=0),"",N(I19)+N(J19))</f>
        <v/>
      </c>
      <c r="L19" s="32" t="str">
        <f aca="false">IF(OR(E19="",F19=""),"",F19*IFERROR(INDEX(Товары!$C$4:$C$200,MATCH(E19,Товары!$B$4:$B$200,0)),0))</f>
        <v/>
      </c>
      <c r="M19" s="32" t="str">
        <f aca="false">IF(I19="","",I19-L19)</f>
        <v/>
      </c>
      <c r="N19" s="28"/>
      <c r="O19" s="28"/>
      <c r="P19" s="28"/>
      <c r="Q19" s="28"/>
      <c r="R19" s="35"/>
      <c r="S19" s="28"/>
    </row>
    <row r="20" customFormat="false" ht="15" hidden="false" customHeight="false" outlineLevel="0" collapsed="false">
      <c r="A20" s="34" t="str">
        <f aca="false">IF(E20="","",ROW()-3)</f>
        <v/>
      </c>
      <c r="B20" s="35"/>
      <c r="C20" s="28"/>
      <c r="D20" s="28"/>
      <c r="E20" s="28"/>
      <c r="F20" s="28"/>
      <c r="G20" s="32" t="str">
        <f aca="false">IF(E20="","",IFERROR(INDEX(Товары!$D$4:$D$200,MATCH(E20,Товары!$B$4:$B$200,0)),0))</f>
        <v/>
      </c>
      <c r="H20" s="29"/>
      <c r="I20" s="32" t="str">
        <f aca="false">IF(OR(E20="",F20=""),"",F20*G20-N(H20))</f>
        <v/>
      </c>
      <c r="J20" s="29"/>
      <c r="K20" s="32" t="str">
        <f aca="false">IF(AND(I20="",N(J20)=0),"",N(I20)+N(J20))</f>
        <v/>
      </c>
      <c r="L20" s="32" t="str">
        <f aca="false">IF(OR(E20="",F20=""),"",F20*IFERROR(INDEX(Товары!$C$4:$C$200,MATCH(E20,Товары!$B$4:$B$200,0)),0))</f>
        <v/>
      </c>
      <c r="M20" s="32" t="str">
        <f aca="false">IF(I20="","",I20-L20)</f>
        <v/>
      </c>
      <c r="N20" s="28"/>
      <c r="O20" s="28"/>
      <c r="P20" s="28"/>
      <c r="Q20" s="28"/>
      <c r="R20" s="35"/>
      <c r="S20" s="28"/>
    </row>
    <row r="21" customFormat="false" ht="15" hidden="false" customHeight="false" outlineLevel="0" collapsed="false">
      <c r="A21" s="34" t="str">
        <f aca="false">IF(E21="","",ROW()-3)</f>
        <v/>
      </c>
      <c r="B21" s="35"/>
      <c r="C21" s="28"/>
      <c r="D21" s="28"/>
      <c r="E21" s="28"/>
      <c r="F21" s="28"/>
      <c r="G21" s="32" t="str">
        <f aca="false">IF(E21="","",IFERROR(INDEX(Товары!$D$4:$D$200,MATCH(E21,Товары!$B$4:$B$200,0)),0))</f>
        <v/>
      </c>
      <c r="H21" s="29"/>
      <c r="I21" s="32" t="str">
        <f aca="false">IF(OR(E21="",F21=""),"",F21*G21-N(H21))</f>
        <v/>
      </c>
      <c r="J21" s="29"/>
      <c r="K21" s="32" t="str">
        <f aca="false">IF(AND(I21="",N(J21)=0),"",N(I21)+N(J21))</f>
        <v/>
      </c>
      <c r="L21" s="32" t="str">
        <f aca="false">IF(OR(E21="",F21=""),"",F21*IFERROR(INDEX(Товары!$C$4:$C$200,MATCH(E21,Товары!$B$4:$B$200,0)),0))</f>
        <v/>
      </c>
      <c r="M21" s="32" t="str">
        <f aca="false">IF(I21="","",I21-L21)</f>
        <v/>
      </c>
      <c r="N21" s="28"/>
      <c r="O21" s="28"/>
      <c r="P21" s="28"/>
      <c r="Q21" s="28"/>
      <c r="R21" s="35"/>
      <c r="S21" s="28"/>
    </row>
    <row r="22" customFormat="false" ht="15" hidden="false" customHeight="false" outlineLevel="0" collapsed="false">
      <c r="A22" s="34" t="str">
        <f aca="false">IF(E22="","",ROW()-3)</f>
        <v/>
      </c>
      <c r="B22" s="35"/>
      <c r="C22" s="28"/>
      <c r="D22" s="28"/>
      <c r="E22" s="28"/>
      <c r="F22" s="28"/>
      <c r="G22" s="32" t="str">
        <f aca="false">IF(E22="","",IFERROR(INDEX(Товары!$D$4:$D$200,MATCH(E22,Товары!$B$4:$B$200,0)),0))</f>
        <v/>
      </c>
      <c r="H22" s="29"/>
      <c r="I22" s="32" t="str">
        <f aca="false">IF(OR(E22="",F22=""),"",F22*G22-N(H22))</f>
        <v/>
      </c>
      <c r="J22" s="29"/>
      <c r="K22" s="32" t="str">
        <f aca="false">IF(AND(I22="",N(J22)=0),"",N(I22)+N(J22))</f>
        <v/>
      </c>
      <c r="L22" s="32" t="str">
        <f aca="false">IF(OR(E22="",F22=""),"",F22*IFERROR(INDEX(Товары!$C$4:$C$200,MATCH(E22,Товары!$B$4:$B$200,0)),0))</f>
        <v/>
      </c>
      <c r="M22" s="32" t="str">
        <f aca="false">IF(I22="","",I22-L22)</f>
        <v/>
      </c>
      <c r="N22" s="28"/>
      <c r="O22" s="28"/>
      <c r="P22" s="28"/>
      <c r="Q22" s="28"/>
      <c r="R22" s="35"/>
      <c r="S22" s="28"/>
    </row>
    <row r="23" customFormat="false" ht="15" hidden="false" customHeight="false" outlineLevel="0" collapsed="false">
      <c r="A23" s="34" t="str">
        <f aca="false">IF(E23="","",ROW()-3)</f>
        <v/>
      </c>
      <c r="B23" s="35"/>
      <c r="C23" s="28"/>
      <c r="D23" s="28"/>
      <c r="E23" s="28"/>
      <c r="F23" s="28"/>
      <c r="G23" s="32" t="str">
        <f aca="false">IF(E23="","",IFERROR(INDEX(Товары!$D$4:$D$200,MATCH(E23,Товары!$B$4:$B$200,0)),0))</f>
        <v/>
      </c>
      <c r="H23" s="29"/>
      <c r="I23" s="32" t="str">
        <f aca="false">IF(OR(E23="",F23=""),"",F23*G23-N(H23))</f>
        <v/>
      </c>
      <c r="J23" s="29"/>
      <c r="K23" s="32" t="str">
        <f aca="false">IF(AND(I23="",N(J23)=0),"",N(I23)+N(J23))</f>
        <v/>
      </c>
      <c r="L23" s="32" t="str">
        <f aca="false">IF(OR(E23="",F23=""),"",F23*IFERROR(INDEX(Товары!$C$4:$C$200,MATCH(E23,Товары!$B$4:$B$200,0)),0))</f>
        <v/>
      </c>
      <c r="M23" s="32" t="str">
        <f aca="false">IF(I23="","",I23-L23)</f>
        <v/>
      </c>
      <c r="N23" s="28"/>
      <c r="O23" s="28"/>
      <c r="P23" s="28"/>
      <c r="Q23" s="28"/>
      <c r="R23" s="35"/>
      <c r="S23" s="28"/>
    </row>
    <row r="24" customFormat="false" ht="15" hidden="false" customHeight="false" outlineLevel="0" collapsed="false">
      <c r="A24" s="34" t="str">
        <f aca="false">IF(E24="","",ROW()-3)</f>
        <v/>
      </c>
      <c r="B24" s="35"/>
      <c r="C24" s="28"/>
      <c r="D24" s="28"/>
      <c r="E24" s="28"/>
      <c r="F24" s="28"/>
      <c r="G24" s="32" t="str">
        <f aca="false">IF(E24="","",IFERROR(INDEX(Товары!$D$4:$D$200,MATCH(E24,Товары!$B$4:$B$200,0)),0))</f>
        <v/>
      </c>
      <c r="H24" s="29"/>
      <c r="I24" s="32" t="str">
        <f aca="false">IF(OR(E24="",F24=""),"",F24*G24-N(H24))</f>
        <v/>
      </c>
      <c r="J24" s="29"/>
      <c r="K24" s="32" t="str">
        <f aca="false">IF(AND(I24="",N(J24)=0),"",N(I24)+N(J24))</f>
        <v/>
      </c>
      <c r="L24" s="32" t="str">
        <f aca="false">IF(OR(E24="",F24=""),"",F24*IFERROR(INDEX(Товары!$C$4:$C$200,MATCH(E24,Товары!$B$4:$B$200,0)),0))</f>
        <v/>
      </c>
      <c r="M24" s="32" t="str">
        <f aca="false">IF(I24="","",I24-L24)</f>
        <v/>
      </c>
      <c r="N24" s="28"/>
      <c r="O24" s="28"/>
      <c r="P24" s="28"/>
      <c r="Q24" s="28"/>
      <c r="R24" s="35"/>
      <c r="S24" s="28"/>
    </row>
    <row r="25" customFormat="false" ht="15" hidden="false" customHeight="false" outlineLevel="0" collapsed="false">
      <c r="A25" s="34" t="str">
        <f aca="false">IF(E25="","",ROW()-3)</f>
        <v/>
      </c>
      <c r="B25" s="35"/>
      <c r="C25" s="28"/>
      <c r="D25" s="28"/>
      <c r="E25" s="28"/>
      <c r="F25" s="28"/>
      <c r="G25" s="32" t="str">
        <f aca="false">IF(E25="","",IFERROR(INDEX(Товары!$D$4:$D$200,MATCH(E25,Товары!$B$4:$B$200,0)),0))</f>
        <v/>
      </c>
      <c r="H25" s="29"/>
      <c r="I25" s="32" t="str">
        <f aca="false">IF(OR(E25="",F25=""),"",F25*G25-N(H25))</f>
        <v/>
      </c>
      <c r="J25" s="29"/>
      <c r="K25" s="32" t="str">
        <f aca="false">IF(AND(I25="",N(J25)=0),"",N(I25)+N(J25))</f>
        <v/>
      </c>
      <c r="L25" s="32" t="str">
        <f aca="false">IF(OR(E25="",F25=""),"",F25*IFERROR(INDEX(Товары!$C$4:$C$200,MATCH(E25,Товары!$B$4:$B$200,0)),0))</f>
        <v/>
      </c>
      <c r="M25" s="32" t="str">
        <f aca="false">IF(I25="","",I25-L25)</f>
        <v/>
      </c>
      <c r="N25" s="28"/>
      <c r="O25" s="28"/>
      <c r="P25" s="28"/>
      <c r="Q25" s="28"/>
      <c r="R25" s="35"/>
      <c r="S25" s="28"/>
    </row>
    <row r="26" customFormat="false" ht="15" hidden="false" customHeight="false" outlineLevel="0" collapsed="false">
      <c r="A26" s="34" t="str">
        <f aca="false">IF(E26="","",ROW()-3)</f>
        <v/>
      </c>
      <c r="B26" s="35"/>
      <c r="C26" s="28"/>
      <c r="D26" s="28"/>
      <c r="E26" s="28"/>
      <c r="F26" s="28"/>
      <c r="G26" s="32" t="str">
        <f aca="false">IF(E26="","",IFERROR(INDEX(Товары!$D$4:$D$200,MATCH(E26,Товары!$B$4:$B$200,0)),0))</f>
        <v/>
      </c>
      <c r="H26" s="29"/>
      <c r="I26" s="32" t="str">
        <f aca="false">IF(OR(E26="",F26=""),"",F26*G26-N(H26))</f>
        <v/>
      </c>
      <c r="J26" s="29"/>
      <c r="K26" s="32" t="str">
        <f aca="false">IF(AND(I26="",N(J26)=0),"",N(I26)+N(J26))</f>
        <v/>
      </c>
      <c r="L26" s="32" t="str">
        <f aca="false">IF(OR(E26="",F26=""),"",F26*IFERROR(INDEX(Товары!$C$4:$C$200,MATCH(E26,Товары!$B$4:$B$200,0)),0))</f>
        <v/>
      </c>
      <c r="M26" s="32" t="str">
        <f aca="false">IF(I26="","",I26-L26)</f>
        <v/>
      </c>
      <c r="N26" s="28"/>
      <c r="O26" s="28"/>
      <c r="P26" s="28"/>
      <c r="Q26" s="28"/>
      <c r="R26" s="35"/>
      <c r="S26" s="28"/>
    </row>
    <row r="27" customFormat="false" ht="15" hidden="false" customHeight="false" outlineLevel="0" collapsed="false">
      <c r="A27" s="34" t="str">
        <f aca="false">IF(E27="","",ROW()-3)</f>
        <v/>
      </c>
      <c r="B27" s="35"/>
      <c r="C27" s="28"/>
      <c r="D27" s="28"/>
      <c r="E27" s="28"/>
      <c r="F27" s="28"/>
      <c r="G27" s="32" t="str">
        <f aca="false">IF(E27="","",IFERROR(INDEX(Товары!$D$4:$D$200,MATCH(E27,Товары!$B$4:$B$200,0)),0))</f>
        <v/>
      </c>
      <c r="H27" s="29"/>
      <c r="I27" s="32" t="str">
        <f aca="false">IF(OR(E27="",F27=""),"",F27*G27-N(H27))</f>
        <v/>
      </c>
      <c r="J27" s="29"/>
      <c r="K27" s="32" t="str">
        <f aca="false">IF(AND(I27="",N(J27)=0),"",N(I27)+N(J27))</f>
        <v/>
      </c>
      <c r="L27" s="32" t="str">
        <f aca="false">IF(OR(E27="",F27=""),"",F27*IFERROR(INDEX(Товары!$C$4:$C$200,MATCH(E27,Товары!$B$4:$B$200,0)),0))</f>
        <v/>
      </c>
      <c r="M27" s="32" t="str">
        <f aca="false">IF(I27="","",I27-L27)</f>
        <v/>
      </c>
      <c r="N27" s="28"/>
      <c r="O27" s="28"/>
      <c r="P27" s="28"/>
      <c r="Q27" s="28"/>
      <c r="R27" s="35"/>
      <c r="S27" s="28"/>
    </row>
    <row r="28" customFormat="false" ht="15" hidden="false" customHeight="false" outlineLevel="0" collapsed="false">
      <c r="A28" s="34" t="str">
        <f aca="false">IF(E28="","",ROW()-3)</f>
        <v/>
      </c>
      <c r="B28" s="35"/>
      <c r="C28" s="28"/>
      <c r="D28" s="28"/>
      <c r="E28" s="28"/>
      <c r="F28" s="28"/>
      <c r="G28" s="32" t="str">
        <f aca="false">IF(E28="","",IFERROR(INDEX(Товары!$D$4:$D$200,MATCH(E28,Товары!$B$4:$B$200,0)),0))</f>
        <v/>
      </c>
      <c r="H28" s="29"/>
      <c r="I28" s="32" t="str">
        <f aca="false">IF(OR(E28="",F28=""),"",F28*G28-N(H28))</f>
        <v/>
      </c>
      <c r="J28" s="29"/>
      <c r="K28" s="32" t="str">
        <f aca="false">IF(AND(I28="",N(J28)=0),"",N(I28)+N(J28))</f>
        <v/>
      </c>
      <c r="L28" s="32" t="str">
        <f aca="false">IF(OR(E28="",F28=""),"",F28*IFERROR(INDEX(Товары!$C$4:$C$200,MATCH(E28,Товары!$B$4:$B$200,0)),0))</f>
        <v/>
      </c>
      <c r="M28" s="32" t="str">
        <f aca="false">IF(I28="","",I28-L28)</f>
        <v/>
      </c>
      <c r="N28" s="28"/>
      <c r="O28" s="28"/>
      <c r="P28" s="28"/>
      <c r="Q28" s="28"/>
      <c r="R28" s="35"/>
      <c r="S28" s="28"/>
    </row>
    <row r="29" customFormat="false" ht="15" hidden="false" customHeight="false" outlineLevel="0" collapsed="false">
      <c r="A29" s="34" t="str">
        <f aca="false">IF(E29="","",ROW()-3)</f>
        <v/>
      </c>
      <c r="B29" s="35"/>
      <c r="C29" s="28"/>
      <c r="D29" s="28"/>
      <c r="E29" s="28"/>
      <c r="F29" s="28"/>
      <c r="G29" s="32" t="str">
        <f aca="false">IF(E29="","",IFERROR(INDEX(Товары!$D$4:$D$200,MATCH(E29,Товары!$B$4:$B$200,0)),0))</f>
        <v/>
      </c>
      <c r="H29" s="29"/>
      <c r="I29" s="32" t="str">
        <f aca="false">IF(OR(E29="",F29=""),"",F29*G29-N(H29))</f>
        <v/>
      </c>
      <c r="J29" s="29"/>
      <c r="K29" s="32" t="str">
        <f aca="false">IF(AND(I29="",N(J29)=0),"",N(I29)+N(J29))</f>
        <v/>
      </c>
      <c r="L29" s="32" t="str">
        <f aca="false">IF(OR(E29="",F29=""),"",F29*IFERROR(INDEX(Товары!$C$4:$C$200,MATCH(E29,Товары!$B$4:$B$200,0)),0))</f>
        <v/>
      </c>
      <c r="M29" s="32" t="str">
        <f aca="false">IF(I29="","",I29-L29)</f>
        <v/>
      </c>
      <c r="N29" s="28"/>
      <c r="O29" s="28"/>
      <c r="P29" s="28"/>
      <c r="Q29" s="28"/>
      <c r="R29" s="35"/>
      <c r="S29" s="28"/>
    </row>
    <row r="30" customFormat="false" ht="15" hidden="false" customHeight="false" outlineLevel="0" collapsed="false">
      <c r="A30" s="34" t="str">
        <f aca="false">IF(E30="","",ROW()-3)</f>
        <v/>
      </c>
      <c r="B30" s="35"/>
      <c r="C30" s="28"/>
      <c r="D30" s="28"/>
      <c r="E30" s="28"/>
      <c r="F30" s="28"/>
      <c r="G30" s="32" t="str">
        <f aca="false">IF(E30="","",IFERROR(INDEX(Товары!$D$4:$D$200,MATCH(E30,Товары!$B$4:$B$200,0)),0))</f>
        <v/>
      </c>
      <c r="H30" s="29"/>
      <c r="I30" s="32" t="str">
        <f aca="false">IF(OR(E30="",F30=""),"",F30*G30-N(H30))</f>
        <v/>
      </c>
      <c r="J30" s="29"/>
      <c r="K30" s="32" t="str">
        <f aca="false">IF(AND(I30="",N(J30)=0),"",N(I30)+N(J30))</f>
        <v/>
      </c>
      <c r="L30" s="32" t="str">
        <f aca="false">IF(OR(E30="",F30=""),"",F30*IFERROR(INDEX(Товары!$C$4:$C$200,MATCH(E30,Товары!$B$4:$B$200,0)),0))</f>
        <v/>
      </c>
      <c r="M30" s="32" t="str">
        <f aca="false">IF(I30="","",I30-L30)</f>
        <v/>
      </c>
      <c r="N30" s="28"/>
      <c r="O30" s="28"/>
      <c r="P30" s="28"/>
      <c r="Q30" s="28"/>
      <c r="R30" s="35"/>
      <c r="S30" s="28"/>
    </row>
    <row r="31" customFormat="false" ht="15" hidden="false" customHeight="false" outlineLevel="0" collapsed="false">
      <c r="A31" s="34" t="str">
        <f aca="false">IF(E31="","",ROW()-3)</f>
        <v/>
      </c>
      <c r="B31" s="35"/>
      <c r="C31" s="28"/>
      <c r="D31" s="28"/>
      <c r="E31" s="28"/>
      <c r="F31" s="28"/>
      <c r="G31" s="32" t="str">
        <f aca="false">IF(E31="","",IFERROR(INDEX(Товары!$D$4:$D$200,MATCH(E31,Товары!$B$4:$B$200,0)),0))</f>
        <v/>
      </c>
      <c r="H31" s="29"/>
      <c r="I31" s="32" t="str">
        <f aca="false">IF(OR(E31="",F31=""),"",F31*G31-N(H31))</f>
        <v/>
      </c>
      <c r="J31" s="29"/>
      <c r="K31" s="32" t="str">
        <f aca="false">IF(AND(I31="",N(J31)=0),"",N(I31)+N(J31))</f>
        <v/>
      </c>
      <c r="L31" s="32" t="str">
        <f aca="false">IF(OR(E31="",F31=""),"",F31*IFERROR(INDEX(Товары!$C$4:$C$200,MATCH(E31,Товары!$B$4:$B$200,0)),0))</f>
        <v/>
      </c>
      <c r="M31" s="32" t="str">
        <f aca="false">IF(I31="","",I31-L31)</f>
        <v/>
      </c>
      <c r="N31" s="28"/>
      <c r="O31" s="28"/>
      <c r="P31" s="28"/>
      <c r="Q31" s="28"/>
      <c r="R31" s="35"/>
      <c r="S31" s="28"/>
    </row>
    <row r="32" customFormat="false" ht="15" hidden="false" customHeight="false" outlineLevel="0" collapsed="false">
      <c r="A32" s="34" t="str">
        <f aca="false">IF(E32="","",ROW()-3)</f>
        <v/>
      </c>
      <c r="B32" s="35"/>
      <c r="C32" s="28"/>
      <c r="D32" s="28"/>
      <c r="E32" s="28"/>
      <c r="F32" s="28"/>
      <c r="G32" s="32" t="str">
        <f aca="false">IF(E32="","",IFERROR(INDEX(Товары!$D$4:$D$200,MATCH(E32,Товары!$B$4:$B$200,0)),0))</f>
        <v/>
      </c>
      <c r="H32" s="29"/>
      <c r="I32" s="32" t="str">
        <f aca="false">IF(OR(E32="",F32=""),"",F32*G32-N(H32))</f>
        <v/>
      </c>
      <c r="J32" s="29"/>
      <c r="K32" s="32" t="str">
        <f aca="false">IF(AND(I32="",N(J32)=0),"",N(I32)+N(J32))</f>
        <v/>
      </c>
      <c r="L32" s="32" t="str">
        <f aca="false">IF(OR(E32="",F32=""),"",F32*IFERROR(INDEX(Товары!$C$4:$C$200,MATCH(E32,Товары!$B$4:$B$200,0)),0))</f>
        <v/>
      </c>
      <c r="M32" s="32" t="str">
        <f aca="false">IF(I32="","",I32-L32)</f>
        <v/>
      </c>
      <c r="N32" s="28"/>
      <c r="O32" s="28"/>
      <c r="P32" s="28"/>
      <c r="Q32" s="28"/>
      <c r="R32" s="35"/>
      <c r="S32" s="28"/>
    </row>
    <row r="33" customFormat="false" ht="15" hidden="false" customHeight="false" outlineLevel="0" collapsed="false">
      <c r="A33" s="34" t="str">
        <f aca="false">IF(E33="","",ROW()-3)</f>
        <v/>
      </c>
      <c r="B33" s="35"/>
      <c r="C33" s="28"/>
      <c r="D33" s="28"/>
      <c r="E33" s="28"/>
      <c r="F33" s="28"/>
      <c r="G33" s="32" t="str">
        <f aca="false">IF(E33="","",IFERROR(INDEX(Товары!$D$4:$D$200,MATCH(E33,Товары!$B$4:$B$200,0)),0))</f>
        <v/>
      </c>
      <c r="H33" s="29"/>
      <c r="I33" s="32" t="str">
        <f aca="false">IF(OR(E33="",F33=""),"",F33*G33-N(H33))</f>
        <v/>
      </c>
      <c r="J33" s="29"/>
      <c r="K33" s="32" t="str">
        <f aca="false">IF(AND(I33="",N(J33)=0),"",N(I33)+N(J33))</f>
        <v/>
      </c>
      <c r="L33" s="32" t="str">
        <f aca="false">IF(OR(E33="",F33=""),"",F33*IFERROR(INDEX(Товары!$C$4:$C$200,MATCH(E33,Товары!$B$4:$B$200,0)),0))</f>
        <v/>
      </c>
      <c r="M33" s="32" t="str">
        <f aca="false">IF(I33="","",I33-L33)</f>
        <v/>
      </c>
      <c r="N33" s="28"/>
      <c r="O33" s="28"/>
      <c r="P33" s="28"/>
      <c r="Q33" s="28"/>
      <c r="R33" s="35"/>
      <c r="S33" s="28"/>
    </row>
    <row r="34" customFormat="false" ht="15" hidden="false" customHeight="false" outlineLevel="0" collapsed="false">
      <c r="A34" s="34" t="str">
        <f aca="false">IF(E34="","",ROW()-3)</f>
        <v/>
      </c>
      <c r="B34" s="35"/>
      <c r="C34" s="28"/>
      <c r="D34" s="28"/>
      <c r="E34" s="28"/>
      <c r="F34" s="28"/>
      <c r="G34" s="32" t="str">
        <f aca="false">IF(E34="","",IFERROR(INDEX(Товары!$D$4:$D$200,MATCH(E34,Товары!$B$4:$B$200,0)),0))</f>
        <v/>
      </c>
      <c r="H34" s="29"/>
      <c r="I34" s="32" t="str">
        <f aca="false">IF(OR(E34="",F34=""),"",F34*G34-N(H34))</f>
        <v/>
      </c>
      <c r="J34" s="29"/>
      <c r="K34" s="32" t="str">
        <f aca="false">IF(AND(I34="",N(J34)=0),"",N(I34)+N(J34))</f>
        <v/>
      </c>
      <c r="L34" s="32" t="str">
        <f aca="false">IF(OR(E34="",F34=""),"",F34*IFERROR(INDEX(Товары!$C$4:$C$200,MATCH(E34,Товары!$B$4:$B$200,0)),0))</f>
        <v/>
      </c>
      <c r="M34" s="32" t="str">
        <f aca="false">IF(I34="","",I34-L34)</f>
        <v/>
      </c>
      <c r="N34" s="28"/>
      <c r="O34" s="28"/>
      <c r="P34" s="28"/>
      <c r="Q34" s="28"/>
      <c r="R34" s="35"/>
      <c r="S34" s="28"/>
    </row>
    <row r="35" customFormat="false" ht="15" hidden="false" customHeight="false" outlineLevel="0" collapsed="false">
      <c r="A35" s="34" t="str">
        <f aca="false">IF(E35="","",ROW()-3)</f>
        <v/>
      </c>
      <c r="B35" s="35"/>
      <c r="C35" s="28"/>
      <c r="D35" s="28"/>
      <c r="E35" s="28"/>
      <c r="F35" s="28"/>
      <c r="G35" s="32" t="str">
        <f aca="false">IF(E35="","",IFERROR(INDEX(Товары!$D$4:$D$200,MATCH(E35,Товары!$B$4:$B$200,0)),0))</f>
        <v/>
      </c>
      <c r="H35" s="29"/>
      <c r="I35" s="32" t="str">
        <f aca="false">IF(OR(E35="",F35=""),"",F35*G35-N(H35))</f>
        <v/>
      </c>
      <c r="J35" s="29"/>
      <c r="K35" s="32" t="str">
        <f aca="false">IF(AND(I35="",N(J35)=0),"",N(I35)+N(J35))</f>
        <v/>
      </c>
      <c r="L35" s="32" t="str">
        <f aca="false">IF(OR(E35="",F35=""),"",F35*IFERROR(INDEX(Товары!$C$4:$C$200,MATCH(E35,Товары!$B$4:$B$200,0)),0))</f>
        <v/>
      </c>
      <c r="M35" s="32" t="str">
        <f aca="false">IF(I35="","",I35-L35)</f>
        <v/>
      </c>
      <c r="N35" s="28"/>
      <c r="O35" s="28"/>
      <c r="P35" s="28"/>
      <c r="Q35" s="28"/>
      <c r="R35" s="35"/>
      <c r="S35" s="28"/>
    </row>
    <row r="36" customFormat="false" ht="15" hidden="false" customHeight="false" outlineLevel="0" collapsed="false">
      <c r="A36" s="34" t="str">
        <f aca="false">IF(E36="","",ROW()-3)</f>
        <v/>
      </c>
      <c r="B36" s="35"/>
      <c r="C36" s="28"/>
      <c r="D36" s="28"/>
      <c r="E36" s="28"/>
      <c r="F36" s="28"/>
      <c r="G36" s="32" t="str">
        <f aca="false">IF(E36="","",IFERROR(INDEX(Товары!$D$4:$D$200,MATCH(E36,Товары!$B$4:$B$200,0)),0))</f>
        <v/>
      </c>
      <c r="H36" s="29"/>
      <c r="I36" s="32" t="str">
        <f aca="false">IF(OR(E36="",F36=""),"",F36*G36-N(H36))</f>
        <v/>
      </c>
      <c r="J36" s="29"/>
      <c r="K36" s="32" t="str">
        <f aca="false">IF(AND(I36="",N(J36)=0),"",N(I36)+N(J36))</f>
        <v/>
      </c>
      <c r="L36" s="32" t="str">
        <f aca="false">IF(OR(E36="",F36=""),"",F36*IFERROR(INDEX(Товары!$C$4:$C$200,MATCH(E36,Товары!$B$4:$B$200,0)),0))</f>
        <v/>
      </c>
      <c r="M36" s="32" t="str">
        <f aca="false">IF(I36="","",I36-L36)</f>
        <v/>
      </c>
      <c r="N36" s="28"/>
      <c r="O36" s="28"/>
      <c r="P36" s="28"/>
      <c r="Q36" s="28"/>
      <c r="R36" s="35"/>
      <c r="S36" s="28"/>
    </row>
    <row r="37" customFormat="false" ht="15" hidden="false" customHeight="false" outlineLevel="0" collapsed="false">
      <c r="A37" s="34" t="str">
        <f aca="false">IF(E37="","",ROW()-3)</f>
        <v/>
      </c>
      <c r="B37" s="35"/>
      <c r="C37" s="28"/>
      <c r="D37" s="28"/>
      <c r="E37" s="28"/>
      <c r="F37" s="28"/>
      <c r="G37" s="32" t="str">
        <f aca="false">IF(E37="","",IFERROR(INDEX(Товары!$D$4:$D$200,MATCH(E37,Товары!$B$4:$B$200,0)),0))</f>
        <v/>
      </c>
      <c r="H37" s="29"/>
      <c r="I37" s="32" t="str">
        <f aca="false">IF(OR(E37="",F37=""),"",F37*G37-N(H37))</f>
        <v/>
      </c>
      <c r="J37" s="29"/>
      <c r="K37" s="32" t="str">
        <f aca="false">IF(AND(I37="",N(J37)=0),"",N(I37)+N(J37))</f>
        <v/>
      </c>
      <c r="L37" s="32" t="str">
        <f aca="false">IF(OR(E37="",F37=""),"",F37*IFERROR(INDEX(Товары!$C$4:$C$200,MATCH(E37,Товары!$B$4:$B$200,0)),0))</f>
        <v/>
      </c>
      <c r="M37" s="32" t="str">
        <f aca="false">IF(I37="","",I37-L37)</f>
        <v/>
      </c>
      <c r="N37" s="28"/>
      <c r="O37" s="28"/>
      <c r="P37" s="28"/>
      <c r="Q37" s="28"/>
      <c r="R37" s="35"/>
      <c r="S37" s="28"/>
    </row>
    <row r="38" customFormat="false" ht="15" hidden="false" customHeight="false" outlineLevel="0" collapsed="false">
      <c r="A38" s="34" t="str">
        <f aca="false">IF(E38="","",ROW()-3)</f>
        <v/>
      </c>
      <c r="B38" s="35"/>
      <c r="C38" s="28"/>
      <c r="D38" s="28"/>
      <c r="E38" s="28"/>
      <c r="F38" s="28"/>
      <c r="G38" s="32" t="str">
        <f aca="false">IF(E38="","",IFERROR(INDEX(Товары!$D$4:$D$200,MATCH(E38,Товары!$B$4:$B$200,0)),0))</f>
        <v/>
      </c>
      <c r="H38" s="29"/>
      <c r="I38" s="32" t="str">
        <f aca="false">IF(OR(E38="",F38=""),"",F38*G38-N(H38))</f>
        <v/>
      </c>
      <c r="J38" s="29"/>
      <c r="K38" s="32" t="str">
        <f aca="false">IF(AND(I38="",N(J38)=0),"",N(I38)+N(J38))</f>
        <v/>
      </c>
      <c r="L38" s="32" t="str">
        <f aca="false">IF(OR(E38="",F38=""),"",F38*IFERROR(INDEX(Товары!$C$4:$C$200,MATCH(E38,Товары!$B$4:$B$200,0)),0))</f>
        <v/>
      </c>
      <c r="M38" s="32" t="str">
        <f aca="false">IF(I38="","",I38-L38)</f>
        <v/>
      </c>
      <c r="N38" s="28"/>
      <c r="O38" s="28"/>
      <c r="P38" s="28"/>
      <c r="Q38" s="28"/>
      <c r="R38" s="35"/>
      <c r="S38" s="28"/>
    </row>
    <row r="39" customFormat="false" ht="15" hidden="false" customHeight="false" outlineLevel="0" collapsed="false">
      <c r="A39" s="34" t="str">
        <f aca="false">IF(E39="","",ROW()-3)</f>
        <v/>
      </c>
      <c r="B39" s="35"/>
      <c r="C39" s="28"/>
      <c r="D39" s="28"/>
      <c r="E39" s="28"/>
      <c r="F39" s="28"/>
      <c r="G39" s="32" t="str">
        <f aca="false">IF(E39="","",IFERROR(INDEX(Товары!$D$4:$D$200,MATCH(E39,Товары!$B$4:$B$200,0)),0))</f>
        <v/>
      </c>
      <c r="H39" s="29"/>
      <c r="I39" s="32" t="str">
        <f aca="false">IF(OR(E39="",F39=""),"",F39*G39-N(H39))</f>
        <v/>
      </c>
      <c r="J39" s="29"/>
      <c r="K39" s="32" t="str">
        <f aca="false">IF(AND(I39="",N(J39)=0),"",N(I39)+N(J39))</f>
        <v/>
      </c>
      <c r="L39" s="32" t="str">
        <f aca="false">IF(OR(E39="",F39=""),"",F39*IFERROR(INDEX(Товары!$C$4:$C$200,MATCH(E39,Товары!$B$4:$B$200,0)),0))</f>
        <v/>
      </c>
      <c r="M39" s="32" t="str">
        <f aca="false">IF(I39="","",I39-L39)</f>
        <v/>
      </c>
      <c r="N39" s="28"/>
      <c r="O39" s="28"/>
      <c r="P39" s="28"/>
      <c r="Q39" s="28"/>
      <c r="R39" s="35"/>
      <c r="S39" s="28"/>
    </row>
    <row r="40" customFormat="false" ht="15" hidden="false" customHeight="false" outlineLevel="0" collapsed="false">
      <c r="A40" s="34" t="str">
        <f aca="false">IF(E40="","",ROW()-3)</f>
        <v/>
      </c>
      <c r="B40" s="35"/>
      <c r="C40" s="28"/>
      <c r="D40" s="28"/>
      <c r="E40" s="28"/>
      <c r="F40" s="28"/>
      <c r="G40" s="32" t="str">
        <f aca="false">IF(E40="","",IFERROR(INDEX(Товары!$D$4:$D$200,MATCH(E40,Товары!$B$4:$B$200,0)),0))</f>
        <v/>
      </c>
      <c r="H40" s="29"/>
      <c r="I40" s="32" t="str">
        <f aca="false">IF(OR(E40="",F40=""),"",F40*G40-N(H40))</f>
        <v/>
      </c>
      <c r="J40" s="29"/>
      <c r="K40" s="32" t="str">
        <f aca="false">IF(AND(I40="",N(J40)=0),"",N(I40)+N(J40))</f>
        <v/>
      </c>
      <c r="L40" s="32" t="str">
        <f aca="false">IF(OR(E40="",F40=""),"",F40*IFERROR(INDEX(Товары!$C$4:$C$200,MATCH(E40,Товары!$B$4:$B$200,0)),0))</f>
        <v/>
      </c>
      <c r="M40" s="32" t="str">
        <f aca="false">IF(I40="","",I40-L40)</f>
        <v/>
      </c>
      <c r="N40" s="28"/>
      <c r="O40" s="28"/>
      <c r="P40" s="28"/>
      <c r="Q40" s="28"/>
      <c r="R40" s="35"/>
      <c r="S40" s="28"/>
    </row>
    <row r="41" customFormat="false" ht="15" hidden="false" customHeight="false" outlineLevel="0" collapsed="false">
      <c r="A41" s="34" t="str">
        <f aca="false">IF(E41="","",ROW()-3)</f>
        <v/>
      </c>
      <c r="B41" s="35"/>
      <c r="C41" s="28"/>
      <c r="D41" s="28"/>
      <c r="E41" s="28"/>
      <c r="F41" s="28"/>
      <c r="G41" s="32" t="str">
        <f aca="false">IF(E41="","",IFERROR(INDEX(Товары!$D$4:$D$200,MATCH(E41,Товары!$B$4:$B$200,0)),0))</f>
        <v/>
      </c>
      <c r="H41" s="29"/>
      <c r="I41" s="32" t="str">
        <f aca="false">IF(OR(E41="",F41=""),"",F41*G41-N(H41))</f>
        <v/>
      </c>
      <c r="J41" s="29"/>
      <c r="K41" s="32" t="str">
        <f aca="false">IF(AND(I41="",N(J41)=0),"",N(I41)+N(J41))</f>
        <v/>
      </c>
      <c r="L41" s="32" t="str">
        <f aca="false">IF(OR(E41="",F41=""),"",F41*IFERROR(INDEX(Товары!$C$4:$C$200,MATCH(E41,Товары!$B$4:$B$200,0)),0))</f>
        <v/>
      </c>
      <c r="M41" s="32" t="str">
        <f aca="false">IF(I41="","",I41-L41)</f>
        <v/>
      </c>
      <c r="N41" s="28"/>
      <c r="O41" s="28"/>
      <c r="P41" s="28"/>
      <c r="Q41" s="28"/>
      <c r="R41" s="35"/>
      <c r="S41" s="28"/>
    </row>
    <row r="42" customFormat="false" ht="15" hidden="false" customHeight="false" outlineLevel="0" collapsed="false">
      <c r="A42" s="34" t="str">
        <f aca="false">IF(E42="","",ROW()-3)</f>
        <v/>
      </c>
      <c r="B42" s="35"/>
      <c r="C42" s="28"/>
      <c r="D42" s="28"/>
      <c r="E42" s="28"/>
      <c r="F42" s="28"/>
      <c r="G42" s="32" t="str">
        <f aca="false">IF(E42="","",IFERROR(INDEX(Товары!$D$4:$D$200,MATCH(E42,Товары!$B$4:$B$200,0)),0))</f>
        <v/>
      </c>
      <c r="H42" s="29"/>
      <c r="I42" s="32" t="str">
        <f aca="false">IF(OR(E42="",F42=""),"",F42*G42-N(H42))</f>
        <v/>
      </c>
      <c r="J42" s="29"/>
      <c r="K42" s="32" t="str">
        <f aca="false">IF(AND(I42="",N(J42)=0),"",N(I42)+N(J42))</f>
        <v/>
      </c>
      <c r="L42" s="32" t="str">
        <f aca="false">IF(OR(E42="",F42=""),"",F42*IFERROR(INDEX(Товары!$C$4:$C$200,MATCH(E42,Товары!$B$4:$B$200,0)),0))</f>
        <v/>
      </c>
      <c r="M42" s="32" t="str">
        <f aca="false">IF(I42="","",I42-L42)</f>
        <v/>
      </c>
      <c r="N42" s="28"/>
      <c r="O42" s="28"/>
      <c r="P42" s="28"/>
      <c r="Q42" s="28"/>
      <c r="R42" s="35"/>
      <c r="S42" s="28"/>
    </row>
    <row r="43" customFormat="false" ht="15" hidden="false" customHeight="false" outlineLevel="0" collapsed="false">
      <c r="A43" s="34" t="str">
        <f aca="false">IF(E43="","",ROW()-3)</f>
        <v/>
      </c>
      <c r="B43" s="35"/>
      <c r="C43" s="28"/>
      <c r="D43" s="28"/>
      <c r="E43" s="28"/>
      <c r="F43" s="28"/>
      <c r="G43" s="32" t="str">
        <f aca="false">IF(E43="","",IFERROR(INDEX(Товары!$D$4:$D$200,MATCH(E43,Товары!$B$4:$B$200,0)),0))</f>
        <v/>
      </c>
      <c r="H43" s="29"/>
      <c r="I43" s="32" t="str">
        <f aca="false">IF(OR(E43="",F43=""),"",F43*G43-N(H43))</f>
        <v/>
      </c>
      <c r="J43" s="29"/>
      <c r="K43" s="32" t="str">
        <f aca="false">IF(AND(I43="",N(J43)=0),"",N(I43)+N(J43))</f>
        <v/>
      </c>
      <c r="L43" s="32" t="str">
        <f aca="false">IF(OR(E43="",F43=""),"",F43*IFERROR(INDEX(Товары!$C$4:$C$200,MATCH(E43,Товары!$B$4:$B$200,0)),0))</f>
        <v/>
      </c>
      <c r="M43" s="32" t="str">
        <f aca="false">IF(I43="","",I43-L43)</f>
        <v/>
      </c>
      <c r="N43" s="28"/>
      <c r="O43" s="28"/>
      <c r="P43" s="28"/>
      <c r="Q43" s="28"/>
      <c r="R43" s="35"/>
      <c r="S43" s="28"/>
    </row>
    <row r="44" customFormat="false" ht="15" hidden="false" customHeight="false" outlineLevel="0" collapsed="false">
      <c r="A44" s="34" t="str">
        <f aca="false">IF(E44="","",ROW()-3)</f>
        <v/>
      </c>
      <c r="B44" s="35"/>
      <c r="C44" s="28"/>
      <c r="D44" s="28"/>
      <c r="E44" s="28"/>
      <c r="F44" s="28"/>
      <c r="G44" s="32" t="str">
        <f aca="false">IF(E44="","",IFERROR(INDEX(Товары!$D$4:$D$200,MATCH(E44,Товары!$B$4:$B$200,0)),0))</f>
        <v/>
      </c>
      <c r="H44" s="29"/>
      <c r="I44" s="32" t="str">
        <f aca="false">IF(OR(E44="",F44=""),"",F44*G44-N(H44))</f>
        <v/>
      </c>
      <c r="J44" s="29"/>
      <c r="K44" s="32" t="str">
        <f aca="false">IF(AND(I44="",N(J44)=0),"",N(I44)+N(J44))</f>
        <v/>
      </c>
      <c r="L44" s="32" t="str">
        <f aca="false">IF(OR(E44="",F44=""),"",F44*IFERROR(INDEX(Товары!$C$4:$C$200,MATCH(E44,Товары!$B$4:$B$200,0)),0))</f>
        <v/>
      </c>
      <c r="M44" s="32" t="str">
        <f aca="false">IF(I44="","",I44-L44)</f>
        <v/>
      </c>
      <c r="N44" s="28"/>
      <c r="O44" s="28"/>
      <c r="P44" s="28"/>
      <c r="Q44" s="28"/>
      <c r="R44" s="35"/>
      <c r="S44" s="28"/>
    </row>
    <row r="45" customFormat="false" ht="15" hidden="false" customHeight="false" outlineLevel="0" collapsed="false">
      <c r="A45" s="34" t="str">
        <f aca="false">IF(E45="","",ROW()-3)</f>
        <v/>
      </c>
      <c r="B45" s="35"/>
      <c r="C45" s="28"/>
      <c r="D45" s="28"/>
      <c r="E45" s="28"/>
      <c r="F45" s="28"/>
      <c r="G45" s="32" t="str">
        <f aca="false">IF(E45="","",IFERROR(INDEX(Товары!$D$4:$D$200,MATCH(E45,Товары!$B$4:$B$200,0)),0))</f>
        <v/>
      </c>
      <c r="H45" s="29"/>
      <c r="I45" s="32" t="str">
        <f aca="false">IF(OR(E45="",F45=""),"",F45*G45-N(H45))</f>
        <v/>
      </c>
      <c r="J45" s="29"/>
      <c r="K45" s="32" t="str">
        <f aca="false">IF(AND(I45="",N(J45)=0),"",N(I45)+N(J45))</f>
        <v/>
      </c>
      <c r="L45" s="32" t="str">
        <f aca="false">IF(OR(E45="",F45=""),"",F45*IFERROR(INDEX(Товары!$C$4:$C$200,MATCH(E45,Товары!$B$4:$B$200,0)),0))</f>
        <v/>
      </c>
      <c r="M45" s="32" t="str">
        <f aca="false">IF(I45="","",I45-L45)</f>
        <v/>
      </c>
      <c r="N45" s="28"/>
      <c r="O45" s="28"/>
      <c r="P45" s="28"/>
      <c r="Q45" s="28"/>
      <c r="R45" s="35"/>
      <c r="S45" s="28"/>
    </row>
    <row r="46" customFormat="false" ht="15" hidden="false" customHeight="false" outlineLevel="0" collapsed="false">
      <c r="A46" s="34" t="str">
        <f aca="false">IF(E46="","",ROW()-3)</f>
        <v/>
      </c>
      <c r="B46" s="35"/>
      <c r="C46" s="28"/>
      <c r="D46" s="28"/>
      <c r="E46" s="28"/>
      <c r="F46" s="28"/>
      <c r="G46" s="32" t="str">
        <f aca="false">IF(E46="","",IFERROR(INDEX(Товары!$D$4:$D$200,MATCH(E46,Товары!$B$4:$B$200,0)),0))</f>
        <v/>
      </c>
      <c r="H46" s="29"/>
      <c r="I46" s="32" t="str">
        <f aca="false">IF(OR(E46="",F46=""),"",F46*G46-N(H46))</f>
        <v/>
      </c>
      <c r="J46" s="29"/>
      <c r="K46" s="32" t="str">
        <f aca="false">IF(AND(I46="",N(J46)=0),"",N(I46)+N(J46))</f>
        <v/>
      </c>
      <c r="L46" s="32" t="str">
        <f aca="false">IF(OR(E46="",F46=""),"",F46*IFERROR(INDEX(Товары!$C$4:$C$200,MATCH(E46,Товары!$B$4:$B$200,0)),0))</f>
        <v/>
      </c>
      <c r="M46" s="32" t="str">
        <f aca="false">IF(I46="","",I46-L46)</f>
        <v/>
      </c>
      <c r="N46" s="28"/>
      <c r="O46" s="28"/>
      <c r="P46" s="28"/>
      <c r="Q46" s="28"/>
      <c r="R46" s="35"/>
      <c r="S46" s="28"/>
    </row>
    <row r="47" customFormat="false" ht="15" hidden="false" customHeight="false" outlineLevel="0" collapsed="false">
      <c r="A47" s="34" t="str">
        <f aca="false">IF(E47="","",ROW()-3)</f>
        <v/>
      </c>
      <c r="B47" s="35"/>
      <c r="C47" s="28"/>
      <c r="D47" s="28"/>
      <c r="E47" s="28"/>
      <c r="F47" s="28"/>
      <c r="G47" s="32" t="str">
        <f aca="false">IF(E47="","",IFERROR(INDEX(Товары!$D$4:$D$200,MATCH(E47,Товары!$B$4:$B$200,0)),0))</f>
        <v/>
      </c>
      <c r="H47" s="29"/>
      <c r="I47" s="32" t="str">
        <f aca="false">IF(OR(E47="",F47=""),"",F47*G47-N(H47))</f>
        <v/>
      </c>
      <c r="J47" s="29"/>
      <c r="K47" s="32" t="str">
        <f aca="false">IF(AND(I47="",N(J47)=0),"",N(I47)+N(J47))</f>
        <v/>
      </c>
      <c r="L47" s="32" t="str">
        <f aca="false">IF(OR(E47="",F47=""),"",F47*IFERROR(INDEX(Товары!$C$4:$C$200,MATCH(E47,Товары!$B$4:$B$200,0)),0))</f>
        <v/>
      </c>
      <c r="M47" s="32" t="str">
        <f aca="false">IF(I47="","",I47-L47)</f>
        <v/>
      </c>
      <c r="N47" s="28"/>
      <c r="O47" s="28"/>
      <c r="P47" s="28"/>
      <c r="Q47" s="28"/>
      <c r="R47" s="35"/>
      <c r="S47" s="28"/>
    </row>
    <row r="48" customFormat="false" ht="15" hidden="false" customHeight="false" outlineLevel="0" collapsed="false">
      <c r="A48" s="34" t="str">
        <f aca="false">IF(E48="","",ROW()-3)</f>
        <v/>
      </c>
      <c r="B48" s="35"/>
      <c r="C48" s="28"/>
      <c r="D48" s="28"/>
      <c r="E48" s="28"/>
      <c r="F48" s="28"/>
      <c r="G48" s="32" t="str">
        <f aca="false">IF(E48="","",IFERROR(INDEX(Товары!$D$4:$D$200,MATCH(E48,Товары!$B$4:$B$200,0)),0))</f>
        <v/>
      </c>
      <c r="H48" s="29"/>
      <c r="I48" s="32" t="str">
        <f aca="false">IF(OR(E48="",F48=""),"",F48*G48-N(H48))</f>
        <v/>
      </c>
      <c r="J48" s="29"/>
      <c r="K48" s="32" t="str">
        <f aca="false">IF(AND(I48="",N(J48)=0),"",N(I48)+N(J48))</f>
        <v/>
      </c>
      <c r="L48" s="32" t="str">
        <f aca="false">IF(OR(E48="",F48=""),"",F48*IFERROR(INDEX(Товары!$C$4:$C$200,MATCH(E48,Товары!$B$4:$B$200,0)),0))</f>
        <v/>
      </c>
      <c r="M48" s="32" t="str">
        <f aca="false">IF(I48="","",I48-L48)</f>
        <v/>
      </c>
      <c r="N48" s="28"/>
      <c r="O48" s="28"/>
      <c r="P48" s="28"/>
      <c r="Q48" s="28"/>
      <c r="R48" s="35"/>
      <c r="S48" s="28"/>
    </row>
    <row r="49" customFormat="false" ht="15" hidden="false" customHeight="false" outlineLevel="0" collapsed="false">
      <c r="A49" s="34" t="str">
        <f aca="false">IF(E49="","",ROW()-3)</f>
        <v/>
      </c>
      <c r="B49" s="35"/>
      <c r="C49" s="28"/>
      <c r="D49" s="28"/>
      <c r="E49" s="28"/>
      <c r="F49" s="28"/>
      <c r="G49" s="32" t="str">
        <f aca="false">IF(E49="","",IFERROR(INDEX(Товары!$D$4:$D$200,MATCH(E49,Товары!$B$4:$B$200,0)),0))</f>
        <v/>
      </c>
      <c r="H49" s="29"/>
      <c r="I49" s="32" t="str">
        <f aca="false">IF(OR(E49="",F49=""),"",F49*G49-N(H49))</f>
        <v/>
      </c>
      <c r="J49" s="29"/>
      <c r="K49" s="32" t="str">
        <f aca="false">IF(AND(I49="",N(J49)=0),"",N(I49)+N(J49))</f>
        <v/>
      </c>
      <c r="L49" s="32" t="str">
        <f aca="false">IF(OR(E49="",F49=""),"",F49*IFERROR(INDEX(Товары!$C$4:$C$200,MATCH(E49,Товары!$B$4:$B$200,0)),0))</f>
        <v/>
      </c>
      <c r="M49" s="32" t="str">
        <f aca="false">IF(I49="","",I49-L49)</f>
        <v/>
      </c>
      <c r="N49" s="28"/>
      <c r="O49" s="28"/>
      <c r="P49" s="28"/>
      <c r="Q49" s="28"/>
      <c r="R49" s="35"/>
      <c r="S49" s="28"/>
    </row>
    <row r="50" customFormat="false" ht="15" hidden="false" customHeight="false" outlineLevel="0" collapsed="false">
      <c r="A50" s="34" t="str">
        <f aca="false">IF(E50="","",ROW()-3)</f>
        <v/>
      </c>
      <c r="B50" s="35"/>
      <c r="C50" s="28"/>
      <c r="D50" s="28"/>
      <c r="E50" s="28"/>
      <c r="F50" s="28"/>
      <c r="G50" s="32" t="str">
        <f aca="false">IF(E50="","",IFERROR(INDEX(Товары!$D$4:$D$200,MATCH(E50,Товары!$B$4:$B$200,0)),0))</f>
        <v/>
      </c>
      <c r="H50" s="29"/>
      <c r="I50" s="32" t="str">
        <f aca="false">IF(OR(E50="",F50=""),"",F50*G50-N(H50))</f>
        <v/>
      </c>
      <c r="J50" s="29"/>
      <c r="K50" s="32" t="str">
        <f aca="false">IF(AND(I50="",N(J50)=0),"",N(I50)+N(J50))</f>
        <v/>
      </c>
      <c r="L50" s="32" t="str">
        <f aca="false">IF(OR(E50="",F50=""),"",F50*IFERROR(INDEX(Товары!$C$4:$C$200,MATCH(E50,Товары!$B$4:$B$200,0)),0))</f>
        <v/>
      </c>
      <c r="M50" s="32" t="str">
        <f aca="false">IF(I50="","",I50-L50)</f>
        <v/>
      </c>
      <c r="N50" s="28"/>
      <c r="O50" s="28"/>
      <c r="P50" s="28"/>
      <c r="Q50" s="28"/>
      <c r="R50" s="35"/>
      <c r="S50" s="28"/>
    </row>
    <row r="51" customFormat="false" ht="15" hidden="false" customHeight="false" outlineLevel="0" collapsed="false">
      <c r="A51" s="34" t="str">
        <f aca="false">IF(E51="","",ROW()-3)</f>
        <v/>
      </c>
      <c r="B51" s="35"/>
      <c r="C51" s="28"/>
      <c r="D51" s="28"/>
      <c r="E51" s="28"/>
      <c r="F51" s="28"/>
      <c r="G51" s="32" t="str">
        <f aca="false">IF(E51="","",IFERROR(INDEX(Товары!$D$4:$D$200,MATCH(E51,Товары!$B$4:$B$200,0)),0))</f>
        <v/>
      </c>
      <c r="H51" s="29"/>
      <c r="I51" s="32" t="str">
        <f aca="false">IF(OR(E51="",F51=""),"",F51*G51-N(H51))</f>
        <v/>
      </c>
      <c r="J51" s="29"/>
      <c r="K51" s="32" t="str">
        <f aca="false">IF(AND(I51="",N(J51)=0),"",N(I51)+N(J51))</f>
        <v/>
      </c>
      <c r="L51" s="32" t="str">
        <f aca="false">IF(OR(E51="",F51=""),"",F51*IFERROR(INDEX(Товары!$C$4:$C$200,MATCH(E51,Товары!$B$4:$B$200,0)),0))</f>
        <v/>
      </c>
      <c r="M51" s="32" t="str">
        <f aca="false">IF(I51="","",I51-L51)</f>
        <v/>
      </c>
      <c r="N51" s="28"/>
      <c r="O51" s="28"/>
      <c r="P51" s="28"/>
      <c r="Q51" s="28"/>
      <c r="R51" s="35"/>
      <c r="S51" s="28"/>
    </row>
    <row r="52" customFormat="false" ht="15" hidden="false" customHeight="false" outlineLevel="0" collapsed="false">
      <c r="A52" s="34" t="str">
        <f aca="false">IF(E52="","",ROW()-3)</f>
        <v/>
      </c>
      <c r="B52" s="35"/>
      <c r="C52" s="28"/>
      <c r="D52" s="28"/>
      <c r="E52" s="28"/>
      <c r="F52" s="28"/>
      <c r="G52" s="32" t="str">
        <f aca="false">IF(E52="","",IFERROR(INDEX(Товары!$D$4:$D$200,MATCH(E52,Товары!$B$4:$B$200,0)),0))</f>
        <v/>
      </c>
      <c r="H52" s="29"/>
      <c r="I52" s="32" t="str">
        <f aca="false">IF(OR(E52="",F52=""),"",F52*G52-N(H52))</f>
        <v/>
      </c>
      <c r="J52" s="29"/>
      <c r="K52" s="32" t="str">
        <f aca="false">IF(AND(I52="",N(J52)=0),"",N(I52)+N(J52))</f>
        <v/>
      </c>
      <c r="L52" s="32" t="str">
        <f aca="false">IF(OR(E52="",F52=""),"",F52*IFERROR(INDEX(Товары!$C$4:$C$200,MATCH(E52,Товары!$B$4:$B$200,0)),0))</f>
        <v/>
      </c>
      <c r="M52" s="32" t="str">
        <f aca="false">IF(I52="","",I52-L52)</f>
        <v/>
      </c>
      <c r="N52" s="28"/>
      <c r="O52" s="28"/>
      <c r="P52" s="28"/>
      <c r="Q52" s="28"/>
      <c r="R52" s="35"/>
      <c r="S52" s="28"/>
    </row>
    <row r="53" customFormat="false" ht="15" hidden="false" customHeight="false" outlineLevel="0" collapsed="false">
      <c r="A53" s="34" t="str">
        <f aca="false">IF(E53="","",ROW()-3)</f>
        <v/>
      </c>
      <c r="B53" s="35"/>
      <c r="C53" s="28"/>
      <c r="D53" s="28"/>
      <c r="E53" s="28"/>
      <c r="F53" s="28"/>
      <c r="G53" s="32" t="str">
        <f aca="false">IF(E53="","",IFERROR(INDEX(Товары!$D$4:$D$200,MATCH(E53,Товары!$B$4:$B$200,0)),0))</f>
        <v/>
      </c>
      <c r="H53" s="29"/>
      <c r="I53" s="32" t="str">
        <f aca="false">IF(OR(E53="",F53=""),"",F53*G53-N(H53))</f>
        <v/>
      </c>
      <c r="J53" s="29"/>
      <c r="K53" s="32" t="str">
        <f aca="false">IF(AND(I53="",N(J53)=0),"",N(I53)+N(J53))</f>
        <v/>
      </c>
      <c r="L53" s="32" t="str">
        <f aca="false">IF(OR(E53="",F53=""),"",F53*IFERROR(INDEX(Товары!$C$4:$C$200,MATCH(E53,Товары!$B$4:$B$200,0)),0))</f>
        <v/>
      </c>
      <c r="M53" s="32" t="str">
        <f aca="false">IF(I53="","",I53-L53)</f>
        <v/>
      </c>
      <c r="N53" s="28"/>
      <c r="O53" s="28"/>
      <c r="P53" s="28"/>
      <c r="Q53" s="28"/>
      <c r="R53" s="35"/>
      <c r="S53" s="28"/>
    </row>
    <row r="54" customFormat="false" ht="15" hidden="false" customHeight="false" outlineLevel="0" collapsed="false">
      <c r="A54" s="34" t="str">
        <f aca="false">IF(E54="","",ROW()-3)</f>
        <v/>
      </c>
      <c r="B54" s="35"/>
      <c r="C54" s="28"/>
      <c r="D54" s="28"/>
      <c r="E54" s="28"/>
      <c r="F54" s="28"/>
      <c r="G54" s="32" t="str">
        <f aca="false">IF(E54="","",IFERROR(INDEX(Товары!$D$4:$D$200,MATCH(E54,Товары!$B$4:$B$200,0)),0))</f>
        <v/>
      </c>
      <c r="H54" s="29"/>
      <c r="I54" s="32" t="str">
        <f aca="false">IF(OR(E54="",F54=""),"",F54*G54-N(H54))</f>
        <v/>
      </c>
      <c r="J54" s="29"/>
      <c r="K54" s="32" t="str">
        <f aca="false">IF(AND(I54="",N(J54)=0),"",N(I54)+N(J54))</f>
        <v/>
      </c>
      <c r="L54" s="32" t="str">
        <f aca="false">IF(OR(E54="",F54=""),"",F54*IFERROR(INDEX(Товары!$C$4:$C$200,MATCH(E54,Товары!$B$4:$B$200,0)),0))</f>
        <v/>
      </c>
      <c r="M54" s="32" t="str">
        <f aca="false">IF(I54="","",I54-L54)</f>
        <v/>
      </c>
      <c r="N54" s="28"/>
      <c r="O54" s="28"/>
      <c r="P54" s="28"/>
      <c r="Q54" s="28"/>
      <c r="R54" s="35"/>
      <c r="S54" s="28"/>
    </row>
    <row r="55" customFormat="false" ht="15" hidden="false" customHeight="false" outlineLevel="0" collapsed="false">
      <c r="A55" s="34" t="str">
        <f aca="false">IF(E55="","",ROW()-3)</f>
        <v/>
      </c>
      <c r="B55" s="35"/>
      <c r="C55" s="28"/>
      <c r="D55" s="28"/>
      <c r="E55" s="28"/>
      <c r="F55" s="28"/>
      <c r="G55" s="32" t="str">
        <f aca="false">IF(E55="","",IFERROR(INDEX(Товары!$D$4:$D$200,MATCH(E55,Товары!$B$4:$B$200,0)),0))</f>
        <v/>
      </c>
      <c r="H55" s="29"/>
      <c r="I55" s="32" t="str">
        <f aca="false">IF(OR(E55="",F55=""),"",F55*G55-N(H55))</f>
        <v/>
      </c>
      <c r="J55" s="29"/>
      <c r="K55" s="32" t="str">
        <f aca="false">IF(AND(I55="",N(J55)=0),"",N(I55)+N(J55))</f>
        <v/>
      </c>
      <c r="L55" s="32" t="str">
        <f aca="false">IF(OR(E55="",F55=""),"",F55*IFERROR(INDEX(Товары!$C$4:$C$200,MATCH(E55,Товары!$B$4:$B$200,0)),0))</f>
        <v/>
      </c>
      <c r="M55" s="32" t="str">
        <f aca="false">IF(I55="","",I55-L55)</f>
        <v/>
      </c>
      <c r="N55" s="28"/>
      <c r="O55" s="28"/>
      <c r="P55" s="28"/>
      <c r="Q55" s="28"/>
      <c r="R55" s="35"/>
      <c r="S55" s="28"/>
    </row>
    <row r="56" customFormat="false" ht="15" hidden="false" customHeight="false" outlineLevel="0" collapsed="false">
      <c r="A56" s="34" t="str">
        <f aca="false">IF(E56="","",ROW()-3)</f>
        <v/>
      </c>
      <c r="B56" s="35"/>
      <c r="C56" s="28"/>
      <c r="D56" s="28"/>
      <c r="E56" s="28"/>
      <c r="F56" s="28"/>
      <c r="G56" s="32" t="str">
        <f aca="false">IF(E56="","",IFERROR(INDEX(Товары!$D$4:$D$200,MATCH(E56,Товары!$B$4:$B$200,0)),0))</f>
        <v/>
      </c>
      <c r="H56" s="29"/>
      <c r="I56" s="32" t="str">
        <f aca="false">IF(OR(E56="",F56=""),"",F56*G56-N(H56))</f>
        <v/>
      </c>
      <c r="J56" s="29"/>
      <c r="K56" s="32" t="str">
        <f aca="false">IF(AND(I56="",N(J56)=0),"",N(I56)+N(J56))</f>
        <v/>
      </c>
      <c r="L56" s="32" t="str">
        <f aca="false">IF(OR(E56="",F56=""),"",F56*IFERROR(INDEX(Товары!$C$4:$C$200,MATCH(E56,Товары!$B$4:$B$200,0)),0))</f>
        <v/>
      </c>
      <c r="M56" s="32" t="str">
        <f aca="false">IF(I56="","",I56-L56)</f>
        <v/>
      </c>
      <c r="N56" s="28"/>
      <c r="O56" s="28"/>
      <c r="P56" s="28"/>
      <c r="Q56" s="28"/>
      <c r="R56" s="35"/>
      <c r="S56" s="28"/>
    </row>
    <row r="57" customFormat="false" ht="15" hidden="false" customHeight="false" outlineLevel="0" collapsed="false">
      <c r="A57" s="34" t="str">
        <f aca="false">IF(E57="","",ROW()-3)</f>
        <v/>
      </c>
      <c r="B57" s="35"/>
      <c r="C57" s="28"/>
      <c r="D57" s="28"/>
      <c r="E57" s="28"/>
      <c r="F57" s="28"/>
      <c r="G57" s="32" t="str">
        <f aca="false">IF(E57="","",IFERROR(INDEX(Товары!$D$4:$D$200,MATCH(E57,Товары!$B$4:$B$200,0)),0))</f>
        <v/>
      </c>
      <c r="H57" s="29"/>
      <c r="I57" s="32" t="str">
        <f aca="false">IF(OR(E57="",F57=""),"",F57*G57-N(H57))</f>
        <v/>
      </c>
      <c r="J57" s="29"/>
      <c r="K57" s="32" t="str">
        <f aca="false">IF(AND(I57="",N(J57)=0),"",N(I57)+N(J57))</f>
        <v/>
      </c>
      <c r="L57" s="32" t="str">
        <f aca="false">IF(OR(E57="",F57=""),"",F57*IFERROR(INDEX(Товары!$C$4:$C$200,MATCH(E57,Товары!$B$4:$B$200,0)),0))</f>
        <v/>
      </c>
      <c r="M57" s="32" t="str">
        <f aca="false">IF(I57="","",I57-L57)</f>
        <v/>
      </c>
      <c r="N57" s="28"/>
      <c r="O57" s="28"/>
      <c r="P57" s="28"/>
      <c r="Q57" s="28"/>
      <c r="R57" s="35"/>
      <c r="S57" s="28"/>
    </row>
    <row r="58" customFormat="false" ht="15" hidden="false" customHeight="false" outlineLevel="0" collapsed="false">
      <c r="A58" s="34" t="str">
        <f aca="false">IF(E58="","",ROW()-3)</f>
        <v/>
      </c>
      <c r="B58" s="35"/>
      <c r="C58" s="28"/>
      <c r="D58" s="28"/>
      <c r="E58" s="28"/>
      <c r="F58" s="28"/>
      <c r="G58" s="32" t="str">
        <f aca="false">IF(E58="","",IFERROR(INDEX(Товары!$D$4:$D$200,MATCH(E58,Товары!$B$4:$B$200,0)),0))</f>
        <v/>
      </c>
      <c r="H58" s="29"/>
      <c r="I58" s="32" t="str">
        <f aca="false">IF(OR(E58="",F58=""),"",F58*G58-N(H58))</f>
        <v/>
      </c>
      <c r="J58" s="29"/>
      <c r="K58" s="32" t="str">
        <f aca="false">IF(AND(I58="",N(J58)=0),"",N(I58)+N(J58))</f>
        <v/>
      </c>
      <c r="L58" s="32" t="str">
        <f aca="false">IF(OR(E58="",F58=""),"",F58*IFERROR(INDEX(Товары!$C$4:$C$200,MATCH(E58,Товары!$B$4:$B$200,0)),0))</f>
        <v/>
      </c>
      <c r="M58" s="32" t="str">
        <f aca="false">IF(I58="","",I58-L58)</f>
        <v/>
      </c>
      <c r="N58" s="28"/>
      <c r="O58" s="28"/>
      <c r="P58" s="28"/>
      <c r="Q58" s="28"/>
      <c r="R58" s="35"/>
      <c r="S58" s="28"/>
    </row>
    <row r="59" customFormat="false" ht="15" hidden="false" customHeight="false" outlineLevel="0" collapsed="false">
      <c r="A59" s="34" t="str">
        <f aca="false">IF(E59="","",ROW()-3)</f>
        <v/>
      </c>
      <c r="B59" s="35"/>
      <c r="C59" s="28"/>
      <c r="D59" s="28"/>
      <c r="E59" s="28"/>
      <c r="F59" s="28"/>
      <c r="G59" s="32" t="str">
        <f aca="false">IF(E59="","",IFERROR(INDEX(Товары!$D$4:$D$200,MATCH(E59,Товары!$B$4:$B$200,0)),0))</f>
        <v/>
      </c>
      <c r="H59" s="29"/>
      <c r="I59" s="32" t="str">
        <f aca="false">IF(OR(E59="",F59=""),"",F59*G59-N(H59))</f>
        <v/>
      </c>
      <c r="J59" s="29"/>
      <c r="K59" s="32" t="str">
        <f aca="false">IF(AND(I59="",N(J59)=0),"",N(I59)+N(J59))</f>
        <v/>
      </c>
      <c r="L59" s="32" t="str">
        <f aca="false">IF(OR(E59="",F59=""),"",F59*IFERROR(INDEX(Товары!$C$4:$C$200,MATCH(E59,Товары!$B$4:$B$200,0)),0))</f>
        <v/>
      </c>
      <c r="M59" s="32" t="str">
        <f aca="false">IF(I59="","",I59-L59)</f>
        <v/>
      </c>
      <c r="N59" s="28"/>
      <c r="O59" s="28"/>
      <c r="P59" s="28"/>
      <c r="Q59" s="28"/>
      <c r="R59" s="35"/>
      <c r="S59" s="28"/>
    </row>
    <row r="60" customFormat="false" ht="15" hidden="false" customHeight="false" outlineLevel="0" collapsed="false">
      <c r="A60" s="34" t="str">
        <f aca="false">IF(E60="","",ROW()-3)</f>
        <v/>
      </c>
      <c r="B60" s="35"/>
      <c r="C60" s="28"/>
      <c r="D60" s="28"/>
      <c r="E60" s="28"/>
      <c r="F60" s="28"/>
      <c r="G60" s="32" t="str">
        <f aca="false">IF(E60="","",IFERROR(INDEX(Товары!$D$4:$D$200,MATCH(E60,Товары!$B$4:$B$200,0)),0))</f>
        <v/>
      </c>
      <c r="H60" s="29"/>
      <c r="I60" s="32" t="str">
        <f aca="false">IF(OR(E60="",F60=""),"",F60*G60-N(H60))</f>
        <v/>
      </c>
      <c r="J60" s="29"/>
      <c r="K60" s="32" t="str">
        <f aca="false">IF(AND(I60="",N(J60)=0),"",N(I60)+N(J60))</f>
        <v/>
      </c>
      <c r="L60" s="32" t="str">
        <f aca="false">IF(OR(E60="",F60=""),"",F60*IFERROR(INDEX(Товары!$C$4:$C$200,MATCH(E60,Товары!$B$4:$B$200,0)),0))</f>
        <v/>
      </c>
      <c r="M60" s="32" t="str">
        <f aca="false">IF(I60="","",I60-L60)</f>
        <v/>
      </c>
      <c r="N60" s="28"/>
      <c r="O60" s="28"/>
      <c r="P60" s="28"/>
      <c r="Q60" s="28"/>
      <c r="R60" s="35"/>
      <c r="S60" s="28"/>
    </row>
    <row r="61" customFormat="false" ht="15" hidden="false" customHeight="false" outlineLevel="0" collapsed="false">
      <c r="A61" s="34" t="str">
        <f aca="false">IF(E61="","",ROW()-3)</f>
        <v/>
      </c>
      <c r="B61" s="35"/>
      <c r="C61" s="28"/>
      <c r="D61" s="28"/>
      <c r="E61" s="28"/>
      <c r="F61" s="28"/>
      <c r="G61" s="32" t="str">
        <f aca="false">IF(E61="","",IFERROR(INDEX(Товары!$D$4:$D$200,MATCH(E61,Товары!$B$4:$B$200,0)),0))</f>
        <v/>
      </c>
      <c r="H61" s="29"/>
      <c r="I61" s="32" t="str">
        <f aca="false">IF(OR(E61="",F61=""),"",F61*G61-N(H61))</f>
        <v/>
      </c>
      <c r="J61" s="29"/>
      <c r="K61" s="32" t="str">
        <f aca="false">IF(AND(I61="",N(J61)=0),"",N(I61)+N(J61))</f>
        <v/>
      </c>
      <c r="L61" s="32" t="str">
        <f aca="false">IF(OR(E61="",F61=""),"",F61*IFERROR(INDEX(Товары!$C$4:$C$200,MATCH(E61,Товары!$B$4:$B$200,0)),0))</f>
        <v/>
      </c>
      <c r="M61" s="32" t="str">
        <f aca="false">IF(I61="","",I61-L61)</f>
        <v/>
      </c>
      <c r="N61" s="28"/>
      <c r="O61" s="28"/>
      <c r="P61" s="28"/>
      <c r="Q61" s="28"/>
      <c r="R61" s="35"/>
      <c r="S61" s="28"/>
    </row>
    <row r="62" customFormat="false" ht="15" hidden="false" customHeight="false" outlineLevel="0" collapsed="false">
      <c r="A62" s="34" t="str">
        <f aca="false">IF(E62="","",ROW()-3)</f>
        <v/>
      </c>
      <c r="B62" s="35"/>
      <c r="C62" s="28"/>
      <c r="D62" s="28"/>
      <c r="E62" s="28"/>
      <c r="F62" s="28"/>
      <c r="G62" s="32" t="str">
        <f aca="false">IF(E62="","",IFERROR(INDEX(Товары!$D$4:$D$200,MATCH(E62,Товары!$B$4:$B$200,0)),0))</f>
        <v/>
      </c>
      <c r="H62" s="29"/>
      <c r="I62" s="32" t="str">
        <f aca="false">IF(OR(E62="",F62=""),"",F62*G62-N(H62))</f>
        <v/>
      </c>
      <c r="J62" s="29"/>
      <c r="K62" s="32" t="str">
        <f aca="false">IF(AND(I62="",N(J62)=0),"",N(I62)+N(J62))</f>
        <v/>
      </c>
      <c r="L62" s="32" t="str">
        <f aca="false">IF(OR(E62="",F62=""),"",F62*IFERROR(INDEX(Товары!$C$4:$C$200,MATCH(E62,Товары!$B$4:$B$200,0)),0))</f>
        <v/>
      </c>
      <c r="M62" s="32" t="str">
        <f aca="false">IF(I62="","",I62-L62)</f>
        <v/>
      </c>
      <c r="N62" s="28"/>
      <c r="O62" s="28"/>
      <c r="P62" s="28"/>
      <c r="Q62" s="28"/>
      <c r="R62" s="35"/>
      <c r="S62" s="28"/>
    </row>
    <row r="63" customFormat="false" ht="15" hidden="false" customHeight="false" outlineLevel="0" collapsed="false">
      <c r="A63" s="34" t="str">
        <f aca="false">IF(E63="","",ROW()-3)</f>
        <v/>
      </c>
      <c r="B63" s="35"/>
      <c r="C63" s="28"/>
      <c r="D63" s="28"/>
      <c r="E63" s="28"/>
      <c r="F63" s="28"/>
      <c r="G63" s="32" t="str">
        <f aca="false">IF(E63="","",IFERROR(INDEX(Товары!$D$4:$D$200,MATCH(E63,Товары!$B$4:$B$200,0)),0))</f>
        <v/>
      </c>
      <c r="H63" s="29"/>
      <c r="I63" s="32" t="str">
        <f aca="false">IF(OR(E63="",F63=""),"",F63*G63-N(H63))</f>
        <v/>
      </c>
      <c r="J63" s="29"/>
      <c r="K63" s="32" t="str">
        <f aca="false">IF(AND(I63="",N(J63)=0),"",N(I63)+N(J63))</f>
        <v/>
      </c>
      <c r="L63" s="32" t="str">
        <f aca="false">IF(OR(E63="",F63=""),"",F63*IFERROR(INDEX(Товары!$C$4:$C$200,MATCH(E63,Товары!$B$4:$B$200,0)),0))</f>
        <v/>
      </c>
      <c r="M63" s="32" t="str">
        <f aca="false">IF(I63="","",I63-L63)</f>
        <v/>
      </c>
      <c r="N63" s="28"/>
      <c r="O63" s="28"/>
      <c r="P63" s="28"/>
      <c r="Q63" s="28"/>
      <c r="R63" s="35"/>
      <c r="S63" s="28"/>
    </row>
    <row r="64" customFormat="false" ht="15" hidden="false" customHeight="false" outlineLevel="0" collapsed="false">
      <c r="A64" s="34" t="str">
        <f aca="false">IF(E64="","",ROW()-3)</f>
        <v/>
      </c>
      <c r="B64" s="35"/>
      <c r="C64" s="28"/>
      <c r="D64" s="28"/>
      <c r="E64" s="28"/>
      <c r="F64" s="28"/>
      <c r="G64" s="32" t="str">
        <f aca="false">IF(E64="","",IFERROR(INDEX(Товары!$D$4:$D$200,MATCH(E64,Товары!$B$4:$B$200,0)),0))</f>
        <v/>
      </c>
      <c r="H64" s="29"/>
      <c r="I64" s="32" t="str">
        <f aca="false">IF(OR(E64="",F64=""),"",F64*G64-N(H64))</f>
        <v/>
      </c>
      <c r="J64" s="29"/>
      <c r="K64" s="32" t="str">
        <f aca="false">IF(AND(I64="",N(J64)=0),"",N(I64)+N(J64))</f>
        <v/>
      </c>
      <c r="L64" s="32" t="str">
        <f aca="false">IF(OR(E64="",F64=""),"",F64*IFERROR(INDEX(Товары!$C$4:$C$200,MATCH(E64,Товары!$B$4:$B$200,0)),0))</f>
        <v/>
      </c>
      <c r="M64" s="32" t="str">
        <f aca="false">IF(I64="","",I64-L64)</f>
        <v/>
      </c>
      <c r="N64" s="28"/>
      <c r="O64" s="28"/>
      <c r="P64" s="28"/>
      <c r="Q64" s="28"/>
      <c r="R64" s="35"/>
      <c r="S64" s="28"/>
    </row>
    <row r="65" customFormat="false" ht="15" hidden="false" customHeight="false" outlineLevel="0" collapsed="false">
      <c r="A65" s="34" t="str">
        <f aca="false">IF(E65="","",ROW()-3)</f>
        <v/>
      </c>
      <c r="B65" s="35"/>
      <c r="C65" s="28"/>
      <c r="D65" s="28"/>
      <c r="E65" s="28"/>
      <c r="F65" s="28"/>
      <c r="G65" s="32" t="str">
        <f aca="false">IF(E65="","",IFERROR(INDEX(Товары!$D$4:$D$200,MATCH(E65,Товары!$B$4:$B$200,0)),0))</f>
        <v/>
      </c>
      <c r="H65" s="29"/>
      <c r="I65" s="32" t="str">
        <f aca="false">IF(OR(E65="",F65=""),"",F65*G65-N(H65))</f>
        <v/>
      </c>
      <c r="J65" s="29"/>
      <c r="K65" s="32" t="str">
        <f aca="false">IF(AND(I65="",N(J65)=0),"",N(I65)+N(J65))</f>
        <v/>
      </c>
      <c r="L65" s="32" t="str">
        <f aca="false">IF(OR(E65="",F65=""),"",F65*IFERROR(INDEX(Товары!$C$4:$C$200,MATCH(E65,Товары!$B$4:$B$200,0)),0))</f>
        <v/>
      </c>
      <c r="M65" s="32" t="str">
        <f aca="false">IF(I65="","",I65-L65)</f>
        <v/>
      </c>
      <c r="N65" s="28"/>
      <c r="O65" s="28"/>
      <c r="P65" s="28"/>
      <c r="Q65" s="28"/>
      <c r="R65" s="35"/>
      <c r="S65" s="28"/>
    </row>
    <row r="66" customFormat="false" ht="15" hidden="false" customHeight="false" outlineLevel="0" collapsed="false">
      <c r="A66" s="34" t="str">
        <f aca="false">IF(E66="","",ROW()-3)</f>
        <v/>
      </c>
      <c r="B66" s="35"/>
      <c r="C66" s="28"/>
      <c r="D66" s="28"/>
      <c r="E66" s="28"/>
      <c r="F66" s="28"/>
      <c r="G66" s="32" t="str">
        <f aca="false">IF(E66="","",IFERROR(INDEX(Товары!$D$4:$D$200,MATCH(E66,Товары!$B$4:$B$200,0)),0))</f>
        <v/>
      </c>
      <c r="H66" s="29"/>
      <c r="I66" s="32" t="str">
        <f aca="false">IF(OR(E66="",F66=""),"",F66*G66-N(H66))</f>
        <v/>
      </c>
      <c r="J66" s="29"/>
      <c r="K66" s="32" t="str">
        <f aca="false">IF(AND(I66="",N(J66)=0),"",N(I66)+N(J66))</f>
        <v/>
      </c>
      <c r="L66" s="32" t="str">
        <f aca="false">IF(OR(E66="",F66=""),"",F66*IFERROR(INDEX(Товары!$C$4:$C$200,MATCH(E66,Товары!$B$4:$B$200,0)),0))</f>
        <v/>
      </c>
      <c r="M66" s="32" t="str">
        <f aca="false">IF(I66="","",I66-L66)</f>
        <v/>
      </c>
      <c r="N66" s="28"/>
      <c r="O66" s="28"/>
      <c r="P66" s="28"/>
      <c r="Q66" s="28"/>
      <c r="R66" s="35"/>
      <c r="S66" s="28"/>
    </row>
    <row r="67" customFormat="false" ht="15" hidden="false" customHeight="false" outlineLevel="0" collapsed="false">
      <c r="A67" s="34" t="str">
        <f aca="false">IF(E67="","",ROW()-3)</f>
        <v/>
      </c>
      <c r="B67" s="35"/>
      <c r="C67" s="28"/>
      <c r="D67" s="28"/>
      <c r="E67" s="28"/>
      <c r="F67" s="28"/>
      <c r="G67" s="32" t="str">
        <f aca="false">IF(E67="","",IFERROR(INDEX(Товары!$D$4:$D$200,MATCH(E67,Товары!$B$4:$B$200,0)),0))</f>
        <v/>
      </c>
      <c r="H67" s="29"/>
      <c r="I67" s="32" t="str">
        <f aca="false">IF(OR(E67="",F67=""),"",F67*G67-N(H67))</f>
        <v/>
      </c>
      <c r="J67" s="29"/>
      <c r="K67" s="32" t="str">
        <f aca="false">IF(AND(I67="",N(J67)=0),"",N(I67)+N(J67))</f>
        <v/>
      </c>
      <c r="L67" s="32" t="str">
        <f aca="false">IF(OR(E67="",F67=""),"",F67*IFERROR(INDEX(Товары!$C$4:$C$200,MATCH(E67,Товары!$B$4:$B$200,0)),0))</f>
        <v/>
      </c>
      <c r="M67" s="32" t="str">
        <f aca="false">IF(I67="","",I67-L67)</f>
        <v/>
      </c>
      <c r="N67" s="28"/>
      <c r="O67" s="28"/>
      <c r="P67" s="28"/>
      <c r="Q67" s="28"/>
      <c r="R67" s="35"/>
      <c r="S67" s="28"/>
    </row>
    <row r="68" customFormat="false" ht="15" hidden="false" customHeight="false" outlineLevel="0" collapsed="false">
      <c r="A68" s="34" t="str">
        <f aca="false">IF(E68="","",ROW()-3)</f>
        <v/>
      </c>
      <c r="B68" s="35"/>
      <c r="C68" s="28"/>
      <c r="D68" s="28"/>
      <c r="E68" s="28"/>
      <c r="F68" s="28"/>
      <c r="G68" s="32" t="str">
        <f aca="false">IF(E68="","",IFERROR(INDEX(Товары!$D$4:$D$200,MATCH(E68,Товары!$B$4:$B$200,0)),0))</f>
        <v/>
      </c>
      <c r="H68" s="29"/>
      <c r="I68" s="32" t="str">
        <f aca="false">IF(OR(E68="",F68=""),"",F68*G68-N(H68))</f>
        <v/>
      </c>
      <c r="J68" s="29"/>
      <c r="K68" s="32" t="str">
        <f aca="false">IF(AND(I68="",N(J68)=0),"",N(I68)+N(J68))</f>
        <v/>
      </c>
      <c r="L68" s="32" t="str">
        <f aca="false">IF(OR(E68="",F68=""),"",F68*IFERROR(INDEX(Товары!$C$4:$C$200,MATCH(E68,Товары!$B$4:$B$200,0)),0))</f>
        <v/>
      </c>
      <c r="M68" s="32" t="str">
        <f aca="false">IF(I68="","",I68-L68)</f>
        <v/>
      </c>
      <c r="N68" s="28"/>
      <c r="O68" s="28"/>
      <c r="P68" s="28"/>
      <c r="Q68" s="28"/>
      <c r="R68" s="35"/>
      <c r="S68" s="28"/>
    </row>
    <row r="69" customFormat="false" ht="15" hidden="false" customHeight="false" outlineLevel="0" collapsed="false">
      <c r="A69" s="34" t="str">
        <f aca="false">IF(E69="","",ROW()-3)</f>
        <v/>
      </c>
      <c r="B69" s="35"/>
      <c r="C69" s="28"/>
      <c r="D69" s="28"/>
      <c r="E69" s="28"/>
      <c r="F69" s="28"/>
      <c r="G69" s="32" t="str">
        <f aca="false">IF(E69="","",IFERROR(INDEX(Товары!$D$4:$D$200,MATCH(E69,Товары!$B$4:$B$200,0)),0))</f>
        <v/>
      </c>
      <c r="H69" s="29"/>
      <c r="I69" s="32" t="str">
        <f aca="false">IF(OR(E69="",F69=""),"",F69*G69-N(H69))</f>
        <v/>
      </c>
      <c r="J69" s="29"/>
      <c r="K69" s="32" t="str">
        <f aca="false">IF(AND(I69="",N(J69)=0),"",N(I69)+N(J69))</f>
        <v/>
      </c>
      <c r="L69" s="32" t="str">
        <f aca="false">IF(OR(E69="",F69=""),"",F69*IFERROR(INDEX(Товары!$C$4:$C$200,MATCH(E69,Товары!$B$4:$B$200,0)),0))</f>
        <v/>
      </c>
      <c r="M69" s="32" t="str">
        <f aca="false">IF(I69="","",I69-L69)</f>
        <v/>
      </c>
      <c r="N69" s="28"/>
      <c r="O69" s="28"/>
      <c r="P69" s="28"/>
      <c r="Q69" s="28"/>
      <c r="R69" s="35"/>
      <c r="S69" s="28"/>
    </row>
    <row r="70" customFormat="false" ht="15" hidden="false" customHeight="false" outlineLevel="0" collapsed="false">
      <c r="A70" s="34" t="str">
        <f aca="false">IF(E70="","",ROW()-3)</f>
        <v/>
      </c>
      <c r="B70" s="35"/>
      <c r="C70" s="28"/>
      <c r="D70" s="28"/>
      <c r="E70" s="28"/>
      <c r="F70" s="28"/>
      <c r="G70" s="32" t="str">
        <f aca="false">IF(E70="","",IFERROR(INDEX(Товары!$D$4:$D$200,MATCH(E70,Товары!$B$4:$B$200,0)),0))</f>
        <v/>
      </c>
      <c r="H70" s="29"/>
      <c r="I70" s="32" t="str">
        <f aca="false">IF(OR(E70="",F70=""),"",F70*G70-N(H70))</f>
        <v/>
      </c>
      <c r="J70" s="29"/>
      <c r="K70" s="32" t="str">
        <f aca="false">IF(AND(I70="",N(J70)=0),"",N(I70)+N(J70))</f>
        <v/>
      </c>
      <c r="L70" s="32" t="str">
        <f aca="false">IF(OR(E70="",F70=""),"",F70*IFERROR(INDEX(Товары!$C$4:$C$200,MATCH(E70,Товары!$B$4:$B$200,0)),0))</f>
        <v/>
      </c>
      <c r="M70" s="32" t="str">
        <f aca="false">IF(I70="","",I70-L70)</f>
        <v/>
      </c>
      <c r="N70" s="28"/>
      <c r="O70" s="28"/>
      <c r="P70" s="28"/>
      <c r="Q70" s="28"/>
      <c r="R70" s="35"/>
      <c r="S70" s="28"/>
    </row>
    <row r="71" customFormat="false" ht="15" hidden="false" customHeight="false" outlineLevel="0" collapsed="false">
      <c r="A71" s="34" t="str">
        <f aca="false">IF(E71="","",ROW()-3)</f>
        <v/>
      </c>
      <c r="B71" s="35"/>
      <c r="C71" s="28"/>
      <c r="D71" s="28"/>
      <c r="E71" s="28"/>
      <c r="F71" s="28"/>
      <c r="G71" s="32" t="str">
        <f aca="false">IF(E71="","",IFERROR(INDEX(Товары!$D$4:$D$200,MATCH(E71,Товары!$B$4:$B$200,0)),0))</f>
        <v/>
      </c>
      <c r="H71" s="29"/>
      <c r="I71" s="32" t="str">
        <f aca="false">IF(OR(E71="",F71=""),"",F71*G71-N(H71))</f>
        <v/>
      </c>
      <c r="J71" s="29"/>
      <c r="K71" s="32" t="str">
        <f aca="false">IF(AND(I71="",N(J71)=0),"",N(I71)+N(J71))</f>
        <v/>
      </c>
      <c r="L71" s="32" t="str">
        <f aca="false">IF(OR(E71="",F71=""),"",F71*IFERROR(INDEX(Товары!$C$4:$C$200,MATCH(E71,Товары!$B$4:$B$200,0)),0))</f>
        <v/>
      </c>
      <c r="M71" s="32" t="str">
        <f aca="false">IF(I71="","",I71-L71)</f>
        <v/>
      </c>
      <c r="N71" s="28"/>
      <c r="O71" s="28"/>
      <c r="P71" s="28"/>
      <c r="Q71" s="28"/>
      <c r="R71" s="35"/>
      <c r="S71" s="28"/>
    </row>
    <row r="72" customFormat="false" ht="15" hidden="false" customHeight="false" outlineLevel="0" collapsed="false">
      <c r="A72" s="34" t="str">
        <f aca="false">IF(E72="","",ROW()-3)</f>
        <v/>
      </c>
      <c r="B72" s="35"/>
      <c r="C72" s="28"/>
      <c r="D72" s="28"/>
      <c r="E72" s="28"/>
      <c r="F72" s="28"/>
      <c r="G72" s="32" t="str">
        <f aca="false">IF(E72="","",IFERROR(INDEX(Товары!$D$4:$D$200,MATCH(E72,Товары!$B$4:$B$200,0)),0))</f>
        <v/>
      </c>
      <c r="H72" s="29"/>
      <c r="I72" s="32" t="str">
        <f aca="false">IF(OR(E72="",F72=""),"",F72*G72-N(H72))</f>
        <v/>
      </c>
      <c r="J72" s="29"/>
      <c r="K72" s="32" t="str">
        <f aca="false">IF(AND(I72="",N(J72)=0),"",N(I72)+N(J72))</f>
        <v/>
      </c>
      <c r="L72" s="32" t="str">
        <f aca="false">IF(OR(E72="",F72=""),"",F72*IFERROR(INDEX(Товары!$C$4:$C$200,MATCH(E72,Товары!$B$4:$B$200,0)),0))</f>
        <v/>
      </c>
      <c r="M72" s="32" t="str">
        <f aca="false">IF(I72="","",I72-L72)</f>
        <v/>
      </c>
      <c r="N72" s="28"/>
      <c r="O72" s="28"/>
      <c r="P72" s="28"/>
      <c r="Q72" s="28"/>
      <c r="R72" s="35"/>
      <c r="S72" s="28"/>
    </row>
    <row r="73" customFormat="false" ht="15" hidden="false" customHeight="false" outlineLevel="0" collapsed="false">
      <c r="A73" s="34" t="str">
        <f aca="false">IF(E73="","",ROW()-3)</f>
        <v/>
      </c>
      <c r="B73" s="35"/>
      <c r="C73" s="28"/>
      <c r="D73" s="28"/>
      <c r="E73" s="28"/>
      <c r="F73" s="28"/>
      <c r="G73" s="32" t="str">
        <f aca="false">IF(E73="","",IFERROR(INDEX(Товары!$D$4:$D$200,MATCH(E73,Товары!$B$4:$B$200,0)),0))</f>
        <v/>
      </c>
      <c r="H73" s="29"/>
      <c r="I73" s="32" t="str">
        <f aca="false">IF(OR(E73="",F73=""),"",F73*G73-N(H73))</f>
        <v/>
      </c>
      <c r="J73" s="29"/>
      <c r="K73" s="32" t="str">
        <f aca="false">IF(AND(I73="",N(J73)=0),"",N(I73)+N(J73))</f>
        <v/>
      </c>
      <c r="L73" s="32" t="str">
        <f aca="false">IF(OR(E73="",F73=""),"",F73*IFERROR(INDEX(Товары!$C$4:$C$200,MATCH(E73,Товары!$B$4:$B$200,0)),0))</f>
        <v/>
      </c>
      <c r="M73" s="32" t="str">
        <f aca="false">IF(I73="","",I73-L73)</f>
        <v/>
      </c>
      <c r="N73" s="28"/>
      <c r="O73" s="28"/>
      <c r="P73" s="28"/>
      <c r="Q73" s="28"/>
      <c r="R73" s="35"/>
      <c r="S73" s="28"/>
    </row>
    <row r="74" customFormat="false" ht="15" hidden="false" customHeight="false" outlineLevel="0" collapsed="false">
      <c r="A74" s="34" t="str">
        <f aca="false">IF(E74="","",ROW()-3)</f>
        <v/>
      </c>
      <c r="B74" s="35"/>
      <c r="C74" s="28"/>
      <c r="D74" s="28"/>
      <c r="E74" s="28"/>
      <c r="F74" s="28"/>
      <c r="G74" s="32" t="str">
        <f aca="false">IF(E74="","",IFERROR(INDEX(Товары!$D$4:$D$200,MATCH(E74,Товары!$B$4:$B$200,0)),0))</f>
        <v/>
      </c>
      <c r="H74" s="29"/>
      <c r="I74" s="32" t="str">
        <f aca="false">IF(OR(E74="",F74=""),"",F74*G74-N(H74))</f>
        <v/>
      </c>
      <c r="J74" s="29"/>
      <c r="K74" s="32" t="str">
        <f aca="false">IF(AND(I74="",N(J74)=0),"",N(I74)+N(J74))</f>
        <v/>
      </c>
      <c r="L74" s="32" t="str">
        <f aca="false">IF(OR(E74="",F74=""),"",F74*IFERROR(INDEX(Товары!$C$4:$C$200,MATCH(E74,Товары!$B$4:$B$200,0)),0))</f>
        <v/>
      </c>
      <c r="M74" s="32" t="str">
        <f aca="false">IF(I74="","",I74-L74)</f>
        <v/>
      </c>
      <c r="N74" s="28"/>
      <c r="O74" s="28"/>
      <c r="P74" s="28"/>
      <c r="Q74" s="28"/>
      <c r="R74" s="35"/>
      <c r="S74" s="28"/>
    </row>
    <row r="75" customFormat="false" ht="15" hidden="false" customHeight="false" outlineLevel="0" collapsed="false">
      <c r="A75" s="34" t="str">
        <f aca="false">IF(E75="","",ROW()-3)</f>
        <v/>
      </c>
      <c r="B75" s="35"/>
      <c r="C75" s="28"/>
      <c r="D75" s="28"/>
      <c r="E75" s="28"/>
      <c r="F75" s="28"/>
      <c r="G75" s="32" t="str">
        <f aca="false">IF(E75="","",IFERROR(INDEX(Товары!$D$4:$D$200,MATCH(E75,Товары!$B$4:$B$200,0)),0))</f>
        <v/>
      </c>
      <c r="H75" s="29"/>
      <c r="I75" s="32" t="str">
        <f aca="false">IF(OR(E75="",F75=""),"",F75*G75-N(H75))</f>
        <v/>
      </c>
      <c r="J75" s="29"/>
      <c r="K75" s="32" t="str">
        <f aca="false">IF(AND(I75="",N(J75)=0),"",N(I75)+N(J75))</f>
        <v/>
      </c>
      <c r="L75" s="32" t="str">
        <f aca="false">IF(OR(E75="",F75=""),"",F75*IFERROR(INDEX(Товары!$C$4:$C$200,MATCH(E75,Товары!$B$4:$B$200,0)),0))</f>
        <v/>
      </c>
      <c r="M75" s="32" t="str">
        <f aca="false">IF(I75="","",I75-L75)</f>
        <v/>
      </c>
      <c r="N75" s="28"/>
      <c r="O75" s="28"/>
      <c r="P75" s="28"/>
      <c r="Q75" s="28"/>
      <c r="R75" s="35"/>
      <c r="S75" s="28"/>
    </row>
    <row r="76" customFormat="false" ht="15" hidden="false" customHeight="false" outlineLevel="0" collapsed="false">
      <c r="A76" s="34" t="str">
        <f aca="false">IF(E76="","",ROW()-3)</f>
        <v/>
      </c>
      <c r="B76" s="35"/>
      <c r="C76" s="28"/>
      <c r="D76" s="28"/>
      <c r="E76" s="28"/>
      <c r="F76" s="28"/>
      <c r="G76" s="32" t="str">
        <f aca="false">IF(E76="","",IFERROR(INDEX(Товары!$D$4:$D$200,MATCH(E76,Товары!$B$4:$B$200,0)),0))</f>
        <v/>
      </c>
      <c r="H76" s="29"/>
      <c r="I76" s="32" t="str">
        <f aca="false">IF(OR(E76="",F76=""),"",F76*G76-N(H76))</f>
        <v/>
      </c>
      <c r="J76" s="29"/>
      <c r="K76" s="32" t="str">
        <f aca="false">IF(AND(I76="",N(J76)=0),"",N(I76)+N(J76))</f>
        <v/>
      </c>
      <c r="L76" s="32" t="str">
        <f aca="false">IF(OR(E76="",F76=""),"",F76*IFERROR(INDEX(Товары!$C$4:$C$200,MATCH(E76,Товары!$B$4:$B$200,0)),0))</f>
        <v/>
      </c>
      <c r="M76" s="32" t="str">
        <f aca="false">IF(I76="","",I76-L76)</f>
        <v/>
      </c>
      <c r="N76" s="28"/>
      <c r="O76" s="28"/>
      <c r="P76" s="28"/>
      <c r="Q76" s="28"/>
      <c r="R76" s="35"/>
      <c r="S76" s="28"/>
    </row>
    <row r="77" customFormat="false" ht="15" hidden="false" customHeight="false" outlineLevel="0" collapsed="false">
      <c r="A77" s="34" t="str">
        <f aca="false">IF(E77="","",ROW()-3)</f>
        <v/>
      </c>
      <c r="B77" s="35"/>
      <c r="C77" s="28"/>
      <c r="D77" s="28"/>
      <c r="E77" s="28"/>
      <c r="F77" s="28"/>
      <c r="G77" s="32" t="str">
        <f aca="false">IF(E77="","",IFERROR(INDEX(Товары!$D$4:$D$200,MATCH(E77,Товары!$B$4:$B$200,0)),0))</f>
        <v/>
      </c>
      <c r="H77" s="29"/>
      <c r="I77" s="32" t="str">
        <f aca="false">IF(OR(E77="",F77=""),"",F77*G77-N(H77))</f>
        <v/>
      </c>
      <c r="J77" s="29"/>
      <c r="K77" s="32" t="str">
        <f aca="false">IF(AND(I77="",N(J77)=0),"",N(I77)+N(J77))</f>
        <v/>
      </c>
      <c r="L77" s="32" t="str">
        <f aca="false">IF(OR(E77="",F77=""),"",F77*IFERROR(INDEX(Товары!$C$4:$C$200,MATCH(E77,Товары!$B$4:$B$200,0)),0))</f>
        <v/>
      </c>
      <c r="M77" s="32" t="str">
        <f aca="false">IF(I77="","",I77-L77)</f>
        <v/>
      </c>
      <c r="N77" s="28"/>
      <c r="O77" s="28"/>
      <c r="P77" s="28"/>
      <c r="Q77" s="28"/>
      <c r="R77" s="35"/>
      <c r="S77" s="28"/>
    </row>
    <row r="78" customFormat="false" ht="15" hidden="false" customHeight="false" outlineLevel="0" collapsed="false">
      <c r="A78" s="34" t="str">
        <f aca="false">IF(E78="","",ROW()-3)</f>
        <v/>
      </c>
      <c r="B78" s="35"/>
      <c r="C78" s="28"/>
      <c r="D78" s="28"/>
      <c r="E78" s="28"/>
      <c r="F78" s="28"/>
      <c r="G78" s="32" t="str">
        <f aca="false">IF(E78="","",IFERROR(INDEX(Товары!$D$4:$D$200,MATCH(E78,Товары!$B$4:$B$200,0)),0))</f>
        <v/>
      </c>
      <c r="H78" s="29"/>
      <c r="I78" s="32" t="str">
        <f aca="false">IF(OR(E78="",F78=""),"",F78*G78-N(H78))</f>
        <v/>
      </c>
      <c r="J78" s="29"/>
      <c r="K78" s="32" t="str">
        <f aca="false">IF(AND(I78="",N(J78)=0),"",N(I78)+N(J78))</f>
        <v/>
      </c>
      <c r="L78" s="32" t="str">
        <f aca="false">IF(OR(E78="",F78=""),"",F78*IFERROR(INDEX(Товары!$C$4:$C$200,MATCH(E78,Товары!$B$4:$B$200,0)),0))</f>
        <v/>
      </c>
      <c r="M78" s="32" t="str">
        <f aca="false">IF(I78="","",I78-L78)</f>
        <v/>
      </c>
      <c r="N78" s="28"/>
      <c r="O78" s="28"/>
      <c r="P78" s="28"/>
      <c r="Q78" s="28"/>
      <c r="R78" s="35"/>
      <c r="S78" s="28"/>
    </row>
    <row r="79" customFormat="false" ht="15" hidden="false" customHeight="false" outlineLevel="0" collapsed="false">
      <c r="A79" s="34" t="str">
        <f aca="false">IF(E79="","",ROW()-3)</f>
        <v/>
      </c>
      <c r="B79" s="35"/>
      <c r="C79" s="28"/>
      <c r="D79" s="28"/>
      <c r="E79" s="28"/>
      <c r="F79" s="28"/>
      <c r="G79" s="32" t="str">
        <f aca="false">IF(E79="","",IFERROR(INDEX(Товары!$D$4:$D$200,MATCH(E79,Товары!$B$4:$B$200,0)),0))</f>
        <v/>
      </c>
      <c r="H79" s="29"/>
      <c r="I79" s="32" t="str">
        <f aca="false">IF(OR(E79="",F79=""),"",F79*G79-N(H79))</f>
        <v/>
      </c>
      <c r="J79" s="29"/>
      <c r="K79" s="32" t="str">
        <f aca="false">IF(AND(I79="",N(J79)=0),"",N(I79)+N(J79))</f>
        <v/>
      </c>
      <c r="L79" s="32" t="str">
        <f aca="false">IF(OR(E79="",F79=""),"",F79*IFERROR(INDEX(Товары!$C$4:$C$200,MATCH(E79,Товары!$B$4:$B$200,0)),0))</f>
        <v/>
      </c>
      <c r="M79" s="32" t="str">
        <f aca="false">IF(I79="","",I79-L79)</f>
        <v/>
      </c>
      <c r="N79" s="28"/>
      <c r="O79" s="28"/>
      <c r="P79" s="28"/>
      <c r="Q79" s="28"/>
      <c r="R79" s="35"/>
      <c r="S79" s="28"/>
    </row>
    <row r="80" customFormat="false" ht="15" hidden="false" customHeight="false" outlineLevel="0" collapsed="false">
      <c r="A80" s="34" t="str">
        <f aca="false">IF(E80="","",ROW()-3)</f>
        <v/>
      </c>
      <c r="B80" s="35"/>
      <c r="C80" s="28"/>
      <c r="D80" s="28"/>
      <c r="E80" s="28"/>
      <c r="F80" s="28"/>
      <c r="G80" s="32" t="str">
        <f aca="false">IF(E80="","",IFERROR(INDEX(Товары!$D$4:$D$200,MATCH(E80,Товары!$B$4:$B$200,0)),0))</f>
        <v/>
      </c>
      <c r="H80" s="29"/>
      <c r="I80" s="32" t="str">
        <f aca="false">IF(OR(E80="",F80=""),"",F80*G80-N(H80))</f>
        <v/>
      </c>
      <c r="J80" s="29"/>
      <c r="K80" s="32" t="str">
        <f aca="false">IF(AND(I80="",N(J80)=0),"",N(I80)+N(J80))</f>
        <v/>
      </c>
      <c r="L80" s="32" t="str">
        <f aca="false">IF(OR(E80="",F80=""),"",F80*IFERROR(INDEX(Товары!$C$4:$C$200,MATCH(E80,Товары!$B$4:$B$200,0)),0))</f>
        <v/>
      </c>
      <c r="M80" s="32" t="str">
        <f aca="false">IF(I80="","",I80-L80)</f>
        <v/>
      </c>
      <c r="N80" s="28"/>
      <c r="O80" s="28"/>
      <c r="P80" s="28"/>
      <c r="Q80" s="28"/>
      <c r="R80" s="35"/>
      <c r="S80" s="28"/>
    </row>
    <row r="81" customFormat="false" ht="15" hidden="false" customHeight="false" outlineLevel="0" collapsed="false">
      <c r="A81" s="34" t="str">
        <f aca="false">IF(E81="","",ROW()-3)</f>
        <v/>
      </c>
      <c r="B81" s="35"/>
      <c r="C81" s="28"/>
      <c r="D81" s="28"/>
      <c r="E81" s="28"/>
      <c r="F81" s="28"/>
      <c r="G81" s="32" t="str">
        <f aca="false">IF(E81="","",IFERROR(INDEX(Товары!$D$4:$D$200,MATCH(E81,Товары!$B$4:$B$200,0)),0))</f>
        <v/>
      </c>
      <c r="H81" s="29"/>
      <c r="I81" s="32" t="str">
        <f aca="false">IF(OR(E81="",F81=""),"",F81*G81-N(H81))</f>
        <v/>
      </c>
      <c r="J81" s="29"/>
      <c r="K81" s="32" t="str">
        <f aca="false">IF(AND(I81="",N(J81)=0),"",N(I81)+N(J81))</f>
        <v/>
      </c>
      <c r="L81" s="32" t="str">
        <f aca="false">IF(OR(E81="",F81=""),"",F81*IFERROR(INDEX(Товары!$C$4:$C$200,MATCH(E81,Товары!$B$4:$B$200,0)),0))</f>
        <v/>
      </c>
      <c r="M81" s="32" t="str">
        <f aca="false">IF(I81="","",I81-L81)</f>
        <v/>
      </c>
      <c r="N81" s="28"/>
      <c r="O81" s="28"/>
      <c r="P81" s="28"/>
      <c r="Q81" s="28"/>
      <c r="R81" s="35"/>
      <c r="S81" s="28"/>
    </row>
    <row r="82" customFormat="false" ht="15" hidden="false" customHeight="false" outlineLevel="0" collapsed="false">
      <c r="A82" s="34" t="str">
        <f aca="false">IF(E82="","",ROW()-3)</f>
        <v/>
      </c>
      <c r="B82" s="35"/>
      <c r="C82" s="28"/>
      <c r="D82" s="28"/>
      <c r="E82" s="28"/>
      <c r="F82" s="28"/>
      <c r="G82" s="32" t="str">
        <f aca="false">IF(E82="","",IFERROR(INDEX(Товары!$D$4:$D$200,MATCH(E82,Товары!$B$4:$B$200,0)),0))</f>
        <v/>
      </c>
      <c r="H82" s="29"/>
      <c r="I82" s="32" t="str">
        <f aca="false">IF(OR(E82="",F82=""),"",F82*G82-N(H82))</f>
        <v/>
      </c>
      <c r="J82" s="29"/>
      <c r="K82" s="32" t="str">
        <f aca="false">IF(AND(I82="",N(J82)=0),"",N(I82)+N(J82))</f>
        <v/>
      </c>
      <c r="L82" s="32" t="str">
        <f aca="false">IF(OR(E82="",F82=""),"",F82*IFERROR(INDEX(Товары!$C$4:$C$200,MATCH(E82,Товары!$B$4:$B$200,0)),0))</f>
        <v/>
      </c>
      <c r="M82" s="32" t="str">
        <f aca="false">IF(I82="","",I82-L82)</f>
        <v/>
      </c>
      <c r="N82" s="28"/>
      <c r="O82" s="28"/>
      <c r="P82" s="28"/>
      <c r="Q82" s="28"/>
      <c r="R82" s="35"/>
      <c r="S82" s="28"/>
    </row>
    <row r="83" customFormat="false" ht="15" hidden="false" customHeight="false" outlineLevel="0" collapsed="false">
      <c r="A83" s="34" t="str">
        <f aca="false">IF(E83="","",ROW()-3)</f>
        <v/>
      </c>
      <c r="B83" s="35"/>
      <c r="C83" s="28"/>
      <c r="D83" s="28"/>
      <c r="E83" s="28"/>
      <c r="F83" s="28"/>
      <c r="G83" s="32" t="str">
        <f aca="false">IF(E83="","",IFERROR(INDEX(Товары!$D$4:$D$200,MATCH(E83,Товары!$B$4:$B$200,0)),0))</f>
        <v/>
      </c>
      <c r="H83" s="29"/>
      <c r="I83" s="32" t="str">
        <f aca="false">IF(OR(E83="",F83=""),"",F83*G83-N(H83))</f>
        <v/>
      </c>
      <c r="J83" s="29"/>
      <c r="K83" s="32" t="str">
        <f aca="false">IF(AND(I83="",N(J83)=0),"",N(I83)+N(J83))</f>
        <v/>
      </c>
      <c r="L83" s="32" t="str">
        <f aca="false">IF(OR(E83="",F83=""),"",F83*IFERROR(INDEX(Товары!$C$4:$C$200,MATCH(E83,Товары!$B$4:$B$200,0)),0))</f>
        <v/>
      </c>
      <c r="M83" s="32" t="str">
        <f aca="false">IF(I83="","",I83-L83)</f>
        <v/>
      </c>
      <c r="N83" s="28"/>
      <c r="O83" s="28"/>
      <c r="P83" s="28"/>
      <c r="Q83" s="28"/>
      <c r="R83" s="35"/>
      <c r="S83" s="28"/>
    </row>
    <row r="84" customFormat="false" ht="15" hidden="false" customHeight="false" outlineLevel="0" collapsed="false">
      <c r="A84" s="34" t="str">
        <f aca="false">IF(E84="","",ROW()-3)</f>
        <v/>
      </c>
      <c r="B84" s="35"/>
      <c r="C84" s="28"/>
      <c r="D84" s="28"/>
      <c r="E84" s="28"/>
      <c r="F84" s="28"/>
      <c r="G84" s="32" t="str">
        <f aca="false">IF(E84="","",IFERROR(INDEX(Товары!$D$4:$D$200,MATCH(E84,Товары!$B$4:$B$200,0)),0))</f>
        <v/>
      </c>
      <c r="H84" s="29"/>
      <c r="I84" s="32" t="str">
        <f aca="false">IF(OR(E84="",F84=""),"",F84*G84-N(H84))</f>
        <v/>
      </c>
      <c r="J84" s="29"/>
      <c r="K84" s="32" t="str">
        <f aca="false">IF(AND(I84="",N(J84)=0),"",N(I84)+N(J84))</f>
        <v/>
      </c>
      <c r="L84" s="32" t="str">
        <f aca="false">IF(OR(E84="",F84=""),"",F84*IFERROR(INDEX(Товары!$C$4:$C$200,MATCH(E84,Товары!$B$4:$B$200,0)),0))</f>
        <v/>
      </c>
      <c r="M84" s="32" t="str">
        <f aca="false">IF(I84="","",I84-L84)</f>
        <v/>
      </c>
      <c r="N84" s="28"/>
      <c r="O84" s="28"/>
      <c r="P84" s="28"/>
      <c r="Q84" s="28"/>
      <c r="R84" s="35"/>
      <c r="S84" s="28"/>
    </row>
    <row r="85" customFormat="false" ht="15" hidden="false" customHeight="false" outlineLevel="0" collapsed="false">
      <c r="A85" s="34" t="str">
        <f aca="false">IF(E85="","",ROW()-3)</f>
        <v/>
      </c>
      <c r="B85" s="35"/>
      <c r="C85" s="28"/>
      <c r="D85" s="28"/>
      <c r="E85" s="28"/>
      <c r="F85" s="28"/>
      <c r="G85" s="32" t="str">
        <f aca="false">IF(E85="","",IFERROR(INDEX(Товары!$D$4:$D$200,MATCH(E85,Товары!$B$4:$B$200,0)),0))</f>
        <v/>
      </c>
      <c r="H85" s="29"/>
      <c r="I85" s="32" t="str">
        <f aca="false">IF(OR(E85="",F85=""),"",F85*G85-N(H85))</f>
        <v/>
      </c>
      <c r="J85" s="29"/>
      <c r="K85" s="32" t="str">
        <f aca="false">IF(AND(I85="",N(J85)=0),"",N(I85)+N(J85))</f>
        <v/>
      </c>
      <c r="L85" s="32" t="str">
        <f aca="false">IF(OR(E85="",F85=""),"",F85*IFERROR(INDEX(Товары!$C$4:$C$200,MATCH(E85,Товары!$B$4:$B$200,0)),0))</f>
        <v/>
      </c>
      <c r="M85" s="32" t="str">
        <f aca="false">IF(I85="","",I85-L85)</f>
        <v/>
      </c>
      <c r="N85" s="28"/>
      <c r="O85" s="28"/>
      <c r="P85" s="28"/>
      <c r="Q85" s="28"/>
      <c r="R85" s="35"/>
      <c r="S85" s="28"/>
    </row>
    <row r="86" customFormat="false" ht="15" hidden="false" customHeight="false" outlineLevel="0" collapsed="false">
      <c r="A86" s="34" t="str">
        <f aca="false">IF(E86="","",ROW()-3)</f>
        <v/>
      </c>
      <c r="B86" s="35"/>
      <c r="C86" s="28"/>
      <c r="D86" s="28"/>
      <c r="E86" s="28"/>
      <c r="F86" s="28"/>
      <c r="G86" s="32" t="str">
        <f aca="false">IF(E86="","",IFERROR(INDEX(Товары!$D$4:$D$200,MATCH(E86,Товары!$B$4:$B$200,0)),0))</f>
        <v/>
      </c>
      <c r="H86" s="29"/>
      <c r="I86" s="32" t="str">
        <f aca="false">IF(OR(E86="",F86=""),"",F86*G86-N(H86))</f>
        <v/>
      </c>
      <c r="J86" s="29"/>
      <c r="K86" s="32" t="str">
        <f aca="false">IF(AND(I86="",N(J86)=0),"",N(I86)+N(J86))</f>
        <v/>
      </c>
      <c r="L86" s="32" t="str">
        <f aca="false">IF(OR(E86="",F86=""),"",F86*IFERROR(INDEX(Товары!$C$4:$C$200,MATCH(E86,Товары!$B$4:$B$200,0)),0))</f>
        <v/>
      </c>
      <c r="M86" s="32" t="str">
        <f aca="false">IF(I86="","",I86-L86)</f>
        <v/>
      </c>
      <c r="N86" s="28"/>
      <c r="O86" s="28"/>
      <c r="P86" s="28"/>
      <c r="Q86" s="28"/>
      <c r="R86" s="35"/>
      <c r="S86" s="28"/>
    </row>
    <row r="87" customFormat="false" ht="15" hidden="false" customHeight="false" outlineLevel="0" collapsed="false">
      <c r="A87" s="34" t="str">
        <f aca="false">IF(E87="","",ROW()-3)</f>
        <v/>
      </c>
      <c r="B87" s="35"/>
      <c r="C87" s="28"/>
      <c r="D87" s="28"/>
      <c r="E87" s="28"/>
      <c r="F87" s="28"/>
      <c r="G87" s="32" t="str">
        <f aca="false">IF(E87="","",IFERROR(INDEX(Товары!$D$4:$D$200,MATCH(E87,Товары!$B$4:$B$200,0)),0))</f>
        <v/>
      </c>
      <c r="H87" s="29"/>
      <c r="I87" s="32" t="str">
        <f aca="false">IF(OR(E87="",F87=""),"",F87*G87-N(H87))</f>
        <v/>
      </c>
      <c r="J87" s="29"/>
      <c r="K87" s="32" t="str">
        <f aca="false">IF(AND(I87="",N(J87)=0),"",N(I87)+N(J87))</f>
        <v/>
      </c>
      <c r="L87" s="32" t="str">
        <f aca="false">IF(OR(E87="",F87=""),"",F87*IFERROR(INDEX(Товары!$C$4:$C$200,MATCH(E87,Товары!$B$4:$B$200,0)),0))</f>
        <v/>
      </c>
      <c r="M87" s="32" t="str">
        <f aca="false">IF(I87="","",I87-L87)</f>
        <v/>
      </c>
      <c r="N87" s="28"/>
      <c r="O87" s="28"/>
      <c r="P87" s="28"/>
      <c r="Q87" s="28"/>
      <c r="R87" s="35"/>
      <c r="S87" s="28"/>
    </row>
    <row r="88" customFormat="false" ht="15" hidden="false" customHeight="false" outlineLevel="0" collapsed="false">
      <c r="A88" s="34" t="str">
        <f aca="false">IF(E88="","",ROW()-3)</f>
        <v/>
      </c>
      <c r="B88" s="35"/>
      <c r="C88" s="28"/>
      <c r="D88" s="28"/>
      <c r="E88" s="28"/>
      <c r="F88" s="28"/>
      <c r="G88" s="32" t="str">
        <f aca="false">IF(E88="","",IFERROR(INDEX(Товары!$D$4:$D$200,MATCH(E88,Товары!$B$4:$B$200,0)),0))</f>
        <v/>
      </c>
      <c r="H88" s="29"/>
      <c r="I88" s="32" t="str">
        <f aca="false">IF(OR(E88="",F88=""),"",F88*G88-N(H88))</f>
        <v/>
      </c>
      <c r="J88" s="29"/>
      <c r="K88" s="32" t="str">
        <f aca="false">IF(AND(I88="",N(J88)=0),"",N(I88)+N(J88))</f>
        <v/>
      </c>
      <c r="L88" s="32" t="str">
        <f aca="false">IF(OR(E88="",F88=""),"",F88*IFERROR(INDEX(Товары!$C$4:$C$200,MATCH(E88,Товары!$B$4:$B$200,0)),0))</f>
        <v/>
      </c>
      <c r="M88" s="32" t="str">
        <f aca="false">IF(I88="","",I88-L88)</f>
        <v/>
      </c>
      <c r="N88" s="28"/>
      <c r="O88" s="28"/>
      <c r="P88" s="28"/>
      <c r="Q88" s="28"/>
      <c r="R88" s="35"/>
      <c r="S88" s="28"/>
    </row>
    <row r="89" customFormat="false" ht="15" hidden="false" customHeight="false" outlineLevel="0" collapsed="false">
      <c r="A89" s="34" t="str">
        <f aca="false">IF(E89="","",ROW()-3)</f>
        <v/>
      </c>
      <c r="B89" s="35"/>
      <c r="C89" s="28"/>
      <c r="D89" s="28"/>
      <c r="E89" s="28"/>
      <c r="F89" s="28"/>
      <c r="G89" s="32" t="str">
        <f aca="false">IF(E89="","",IFERROR(INDEX(Товары!$D$4:$D$200,MATCH(E89,Товары!$B$4:$B$200,0)),0))</f>
        <v/>
      </c>
      <c r="H89" s="29"/>
      <c r="I89" s="32" t="str">
        <f aca="false">IF(OR(E89="",F89=""),"",F89*G89-N(H89))</f>
        <v/>
      </c>
      <c r="J89" s="29"/>
      <c r="K89" s="32" t="str">
        <f aca="false">IF(AND(I89="",N(J89)=0),"",N(I89)+N(J89))</f>
        <v/>
      </c>
      <c r="L89" s="32" t="str">
        <f aca="false">IF(OR(E89="",F89=""),"",F89*IFERROR(INDEX(Товары!$C$4:$C$200,MATCH(E89,Товары!$B$4:$B$200,0)),0))</f>
        <v/>
      </c>
      <c r="M89" s="32" t="str">
        <f aca="false">IF(I89="","",I89-L89)</f>
        <v/>
      </c>
      <c r="N89" s="28"/>
      <c r="O89" s="28"/>
      <c r="P89" s="28"/>
      <c r="Q89" s="28"/>
      <c r="R89" s="35"/>
      <c r="S89" s="28"/>
    </row>
    <row r="90" customFormat="false" ht="15" hidden="false" customHeight="false" outlineLevel="0" collapsed="false">
      <c r="A90" s="34" t="str">
        <f aca="false">IF(E90="","",ROW()-3)</f>
        <v/>
      </c>
      <c r="B90" s="35"/>
      <c r="C90" s="28"/>
      <c r="D90" s="28"/>
      <c r="E90" s="28"/>
      <c r="F90" s="28"/>
      <c r="G90" s="32" t="str">
        <f aca="false">IF(E90="","",IFERROR(INDEX(Товары!$D$4:$D$200,MATCH(E90,Товары!$B$4:$B$200,0)),0))</f>
        <v/>
      </c>
      <c r="H90" s="29"/>
      <c r="I90" s="32" t="str">
        <f aca="false">IF(OR(E90="",F90=""),"",F90*G90-N(H90))</f>
        <v/>
      </c>
      <c r="J90" s="29"/>
      <c r="K90" s="32" t="str">
        <f aca="false">IF(AND(I90="",N(J90)=0),"",N(I90)+N(J90))</f>
        <v/>
      </c>
      <c r="L90" s="32" t="str">
        <f aca="false">IF(OR(E90="",F90=""),"",F90*IFERROR(INDEX(Товары!$C$4:$C$200,MATCH(E90,Товары!$B$4:$B$200,0)),0))</f>
        <v/>
      </c>
      <c r="M90" s="32" t="str">
        <f aca="false">IF(I90="","",I90-L90)</f>
        <v/>
      </c>
      <c r="N90" s="28"/>
      <c r="O90" s="28"/>
      <c r="P90" s="28"/>
      <c r="Q90" s="28"/>
      <c r="R90" s="35"/>
      <c r="S90" s="28"/>
    </row>
    <row r="91" customFormat="false" ht="15" hidden="false" customHeight="false" outlineLevel="0" collapsed="false">
      <c r="A91" s="34" t="str">
        <f aca="false">IF(E91="","",ROW()-3)</f>
        <v/>
      </c>
      <c r="B91" s="35"/>
      <c r="C91" s="28"/>
      <c r="D91" s="28"/>
      <c r="E91" s="28"/>
      <c r="F91" s="28"/>
      <c r="G91" s="32" t="str">
        <f aca="false">IF(E91="","",IFERROR(INDEX(Товары!$D$4:$D$200,MATCH(E91,Товары!$B$4:$B$200,0)),0))</f>
        <v/>
      </c>
      <c r="H91" s="29"/>
      <c r="I91" s="32" t="str">
        <f aca="false">IF(OR(E91="",F91=""),"",F91*G91-N(H91))</f>
        <v/>
      </c>
      <c r="J91" s="29"/>
      <c r="K91" s="32" t="str">
        <f aca="false">IF(AND(I91="",N(J91)=0),"",N(I91)+N(J91))</f>
        <v/>
      </c>
      <c r="L91" s="32" t="str">
        <f aca="false">IF(OR(E91="",F91=""),"",F91*IFERROR(INDEX(Товары!$C$4:$C$200,MATCH(E91,Товары!$B$4:$B$200,0)),0))</f>
        <v/>
      </c>
      <c r="M91" s="32" t="str">
        <f aca="false">IF(I91="","",I91-L91)</f>
        <v/>
      </c>
      <c r="N91" s="28"/>
      <c r="O91" s="28"/>
      <c r="P91" s="28"/>
      <c r="Q91" s="28"/>
      <c r="R91" s="35"/>
      <c r="S91" s="28"/>
    </row>
    <row r="92" customFormat="false" ht="15" hidden="false" customHeight="false" outlineLevel="0" collapsed="false">
      <c r="A92" s="34" t="str">
        <f aca="false">IF(E92="","",ROW()-3)</f>
        <v/>
      </c>
      <c r="B92" s="35"/>
      <c r="C92" s="28"/>
      <c r="D92" s="28"/>
      <c r="E92" s="28"/>
      <c r="F92" s="28"/>
      <c r="G92" s="32" t="str">
        <f aca="false">IF(E92="","",IFERROR(INDEX(Товары!$D$4:$D$200,MATCH(E92,Товары!$B$4:$B$200,0)),0))</f>
        <v/>
      </c>
      <c r="H92" s="29"/>
      <c r="I92" s="32" t="str">
        <f aca="false">IF(OR(E92="",F92=""),"",F92*G92-N(H92))</f>
        <v/>
      </c>
      <c r="J92" s="29"/>
      <c r="K92" s="32" t="str">
        <f aca="false">IF(AND(I92="",N(J92)=0),"",N(I92)+N(J92))</f>
        <v/>
      </c>
      <c r="L92" s="32" t="str">
        <f aca="false">IF(OR(E92="",F92=""),"",F92*IFERROR(INDEX(Товары!$C$4:$C$200,MATCH(E92,Товары!$B$4:$B$200,0)),0))</f>
        <v/>
      </c>
      <c r="M92" s="32" t="str">
        <f aca="false">IF(I92="","",I92-L92)</f>
        <v/>
      </c>
      <c r="N92" s="28"/>
      <c r="O92" s="28"/>
      <c r="P92" s="28"/>
      <c r="Q92" s="28"/>
      <c r="R92" s="35"/>
      <c r="S92" s="28"/>
    </row>
    <row r="93" customFormat="false" ht="15" hidden="false" customHeight="false" outlineLevel="0" collapsed="false">
      <c r="A93" s="34" t="str">
        <f aca="false">IF(E93="","",ROW()-3)</f>
        <v/>
      </c>
      <c r="B93" s="35"/>
      <c r="C93" s="28"/>
      <c r="D93" s="28"/>
      <c r="E93" s="28"/>
      <c r="F93" s="28"/>
      <c r="G93" s="32" t="str">
        <f aca="false">IF(E93="","",IFERROR(INDEX(Товары!$D$4:$D$200,MATCH(E93,Товары!$B$4:$B$200,0)),0))</f>
        <v/>
      </c>
      <c r="H93" s="29"/>
      <c r="I93" s="32" t="str">
        <f aca="false">IF(OR(E93="",F93=""),"",F93*G93-N(H93))</f>
        <v/>
      </c>
      <c r="J93" s="29"/>
      <c r="K93" s="32" t="str">
        <f aca="false">IF(AND(I93="",N(J93)=0),"",N(I93)+N(J93))</f>
        <v/>
      </c>
      <c r="L93" s="32" t="str">
        <f aca="false">IF(OR(E93="",F93=""),"",F93*IFERROR(INDEX(Товары!$C$4:$C$200,MATCH(E93,Товары!$B$4:$B$200,0)),0))</f>
        <v/>
      </c>
      <c r="M93" s="32" t="str">
        <f aca="false">IF(I93="","",I93-L93)</f>
        <v/>
      </c>
      <c r="N93" s="28"/>
      <c r="O93" s="28"/>
      <c r="P93" s="28"/>
      <c r="Q93" s="28"/>
      <c r="R93" s="35"/>
      <c r="S93" s="28"/>
    </row>
    <row r="94" customFormat="false" ht="15" hidden="false" customHeight="false" outlineLevel="0" collapsed="false">
      <c r="A94" s="34" t="str">
        <f aca="false">IF(E94="","",ROW()-3)</f>
        <v/>
      </c>
      <c r="B94" s="35"/>
      <c r="C94" s="28"/>
      <c r="D94" s="28"/>
      <c r="E94" s="28"/>
      <c r="F94" s="28"/>
      <c r="G94" s="32" t="str">
        <f aca="false">IF(E94="","",IFERROR(INDEX(Товары!$D$4:$D$200,MATCH(E94,Товары!$B$4:$B$200,0)),0))</f>
        <v/>
      </c>
      <c r="H94" s="29"/>
      <c r="I94" s="32" t="str">
        <f aca="false">IF(OR(E94="",F94=""),"",F94*G94-N(H94))</f>
        <v/>
      </c>
      <c r="J94" s="29"/>
      <c r="K94" s="32" t="str">
        <f aca="false">IF(AND(I94="",N(J94)=0),"",N(I94)+N(J94))</f>
        <v/>
      </c>
      <c r="L94" s="32" t="str">
        <f aca="false">IF(OR(E94="",F94=""),"",F94*IFERROR(INDEX(Товары!$C$4:$C$200,MATCH(E94,Товары!$B$4:$B$200,0)),0))</f>
        <v/>
      </c>
      <c r="M94" s="32" t="str">
        <f aca="false">IF(I94="","",I94-L94)</f>
        <v/>
      </c>
      <c r="N94" s="28"/>
      <c r="O94" s="28"/>
      <c r="P94" s="28"/>
      <c r="Q94" s="28"/>
      <c r="R94" s="35"/>
      <c r="S94" s="28"/>
    </row>
    <row r="95" customFormat="false" ht="15" hidden="false" customHeight="false" outlineLevel="0" collapsed="false">
      <c r="A95" s="34" t="str">
        <f aca="false">IF(E95="","",ROW()-3)</f>
        <v/>
      </c>
      <c r="B95" s="35"/>
      <c r="C95" s="28"/>
      <c r="D95" s="28"/>
      <c r="E95" s="28"/>
      <c r="F95" s="28"/>
      <c r="G95" s="32" t="str">
        <f aca="false">IF(E95="","",IFERROR(INDEX(Товары!$D$4:$D$200,MATCH(E95,Товары!$B$4:$B$200,0)),0))</f>
        <v/>
      </c>
      <c r="H95" s="29"/>
      <c r="I95" s="32" t="str">
        <f aca="false">IF(OR(E95="",F95=""),"",F95*G95-N(H95))</f>
        <v/>
      </c>
      <c r="J95" s="29"/>
      <c r="K95" s="32" t="str">
        <f aca="false">IF(AND(I95="",N(J95)=0),"",N(I95)+N(J95))</f>
        <v/>
      </c>
      <c r="L95" s="32" t="str">
        <f aca="false">IF(OR(E95="",F95=""),"",F95*IFERROR(INDEX(Товары!$C$4:$C$200,MATCH(E95,Товары!$B$4:$B$200,0)),0))</f>
        <v/>
      </c>
      <c r="M95" s="32" t="str">
        <f aca="false">IF(I95="","",I95-L95)</f>
        <v/>
      </c>
      <c r="N95" s="28"/>
      <c r="O95" s="28"/>
      <c r="P95" s="28"/>
      <c r="Q95" s="28"/>
      <c r="R95" s="35"/>
      <c r="S95" s="28"/>
    </row>
    <row r="96" customFormat="false" ht="15" hidden="false" customHeight="false" outlineLevel="0" collapsed="false">
      <c r="A96" s="34" t="str">
        <f aca="false">IF(E96="","",ROW()-3)</f>
        <v/>
      </c>
      <c r="B96" s="35"/>
      <c r="C96" s="28"/>
      <c r="D96" s="28"/>
      <c r="E96" s="28"/>
      <c r="F96" s="28"/>
      <c r="G96" s="32" t="str">
        <f aca="false">IF(E96="","",IFERROR(INDEX(Товары!$D$4:$D$200,MATCH(E96,Товары!$B$4:$B$200,0)),0))</f>
        <v/>
      </c>
      <c r="H96" s="29"/>
      <c r="I96" s="32" t="str">
        <f aca="false">IF(OR(E96="",F96=""),"",F96*G96-N(H96))</f>
        <v/>
      </c>
      <c r="J96" s="29"/>
      <c r="K96" s="32" t="str">
        <f aca="false">IF(AND(I96="",N(J96)=0),"",N(I96)+N(J96))</f>
        <v/>
      </c>
      <c r="L96" s="32" t="str">
        <f aca="false">IF(OR(E96="",F96=""),"",F96*IFERROR(INDEX(Товары!$C$4:$C$200,MATCH(E96,Товары!$B$4:$B$200,0)),0))</f>
        <v/>
      </c>
      <c r="M96" s="32" t="str">
        <f aca="false">IF(I96="","",I96-L96)</f>
        <v/>
      </c>
      <c r="N96" s="28"/>
      <c r="O96" s="28"/>
      <c r="P96" s="28"/>
      <c r="Q96" s="28"/>
      <c r="R96" s="35"/>
      <c r="S96" s="28"/>
    </row>
    <row r="97" customFormat="false" ht="15" hidden="false" customHeight="false" outlineLevel="0" collapsed="false">
      <c r="A97" s="34" t="str">
        <f aca="false">IF(E97="","",ROW()-3)</f>
        <v/>
      </c>
      <c r="B97" s="35"/>
      <c r="C97" s="28"/>
      <c r="D97" s="28"/>
      <c r="E97" s="28"/>
      <c r="F97" s="28"/>
      <c r="G97" s="32" t="str">
        <f aca="false">IF(E97="","",IFERROR(INDEX(Товары!$D$4:$D$200,MATCH(E97,Товары!$B$4:$B$200,0)),0))</f>
        <v/>
      </c>
      <c r="H97" s="29"/>
      <c r="I97" s="32" t="str">
        <f aca="false">IF(OR(E97="",F97=""),"",F97*G97-N(H97))</f>
        <v/>
      </c>
      <c r="J97" s="29"/>
      <c r="K97" s="32" t="str">
        <f aca="false">IF(AND(I97="",N(J97)=0),"",N(I97)+N(J97))</f>
        <v/>
      </c>
      <c r="L97" s="32" t="str">
        <f aca="false">IF(OR(E97="",F97=""),"",F97*IFERROR(INDEX(Товары!$C$4:$C$200,MATCH(E97,Товары!$B$4:$B$200,0)),0))</f>
        <v/>
      </c>
      <c r="M97" s="32" t="str">
        <f aca="false">IF(I97="","",I97-L97)</f>
        <v/>
      </c>
      <c r="N97" s="28"/>
      <c r="O97" s="28"/>
      <c r="P97" s="28"/>
      <c r="Q97" s="28"/>
      <c r="R97" s="35"/>
      <c r="S97" s="28"/>
    </row>
    <row r="98" customFormat="false" ht="15" hidden="false" customHeight="false" outlineLevel="0" collapsed="false">
      <c r="A98" s="34" t="str">
        <f aca="false">IF(E98="","",ROW()-3)</f>
        <v/>
      </c>
      <c r="B98" s="35"/>
      <c r="C98" s="28"/>
      <c r="D98" s="28"/>
      <c r="E98" s="28"/>
      <c r="F98" s="28"/>
      <c r="G98" s="32" t="str">
        <f aca="false">IF(E98="","",IFERROR(INDEX(Товары!$D$4:$D$200,MATCH(E98,Товары!$B$4:$B$200,0)),0))</f>
        <v/>
      </c>
      <c r="H98" s="29"/>
      <c r="I98" s="32" t="str">
        <f aca="false">IF(OR(E98="",F98=""),"",F98*G98-N(H98))</f>
        <v/>
      </c>
      <c r="J98" s="29"/>
      <c r="K98" s="32" t="str">
        <f aca="false">IF(AND(I98="",N(J98)=0),"",N(I98)+N(J98))</f>
        <v/>
      </c>
      <c r="L98" s="32" t="str">
        <f aca="false">IF(OR(E98="",F98=""),"",F98*IFERROR(INDEX(Товары!$C$4:$C$200,MATCH(E98,Товары!$B$4:$B$200,0)),0))</f>
        <v/>
      </c>
      <c r="M98" s="32" t="str">
        <f aca="false">IF(I98="","",I98-L98)</f>
        <v/>
      </c>
      <c r="N98" s="28"/>
      <c r="O98" s="28"/>
      <c r="P98" s="28"/>
      <c r="Q98" s="28"/>
      <c r="R98" s="35"/>
      <c r="S98" s="28"/>
    </row>
    <row r="99" customFormat="false" ht="15" hidden="false" customHeight="false" outlineLevel="0" collapsed="false">
      <c r="A99" s="34" t="str">
        <f aca="false">IF(E99="","",ROW()-3)</f>
        <v/>
      </c>
      <c r="B99" s="35"/>
      <c r="C99" s="28"/>
      <c r="D99" s="28"/>
      <c r="E99" s="28"/>
      <c r="F99" s="28"/>
      <c r="G99" s="32" t="str">
        <f aca="false">IF(E99="","",IFERROR(INDEX(Товары!$D$4:$D$200,MATCH(E99,Товары!$B$4:$B$200,0)),0))</f>
        <v/>
      </c>
      <c r="H99" s="29"/>
      <c r="I99" s="32" t="str">
        <f aca="false">IF(OR(E99="",F99=""),"",F99*G99-N(H99))</f>
        <v/>
      </c>
      <c r="J99" s="29"/>
      <c r="K99" s="32" t="str">
        <f aca="false">IF(AND(I99="",N(J99)=0),"",N(I99)+N(J99))</f>
        <v/>
      </c>
      <c r="L99" s="32" t="str">
        <f aca="false">IF(OR(E99="",F99=""),"",F99*IFERROR(INDEX(Товары!$C$4:$C$200,MATCH(E99,Товары!$B$4:$B$200,0)),0))</f>
        <v/>
      </c>
      <c r="M99" s="32" t="str">
        <f aca="false">IF(I99="","",I99-L99)</f>
        <v/>
      </c>
      <c r="N99" s="28"/>
      <c r="O99" s="28"/>
      <c r="P99" s="28"/>
      <c r="Q99" s="28"/>
      <c r="R99" s="35"/>
      <c r="S99" s="28"/>
    </row>
    <row r="100" customFormat="false" ht="15" hidden="false" customHeight="false" outlineLevel="0" collapsed="false">
      <c r="A100" s="34" t="str">
        <f aca="false">IF(E100="","",ROW()-3)</f>
        <v/>
      </c>
      <c r="B100" s="35"/>
      <c r="C100" s="28"/>
      <c r="D100" s="28"/>
      <c r="E100" s="28"/>
      <c r="F100" s="28"/>
      <c r="G100" s="32" t="str">
        <f aca="false">IF(E100="","",IFERROR(INDEX(Товары!$D$4:$D$200,MATCH(E100,Товары!$B$4:$B$200,0)),0))</f>
        <v/>
      </c>
      <c r="H100" s="29"/>
      <c r="I100" s="32" t="str">
        <f aca="false">IF(OR(E100="",F100=""),"",F100*G100-N(H100))</f>
        <v/>
      </c>
      <c r="J100" s="29"/>
      <c r="K100" s="32" t="str">
        <f aca="false">IF(AND(I100="",N(J100)=0),"",N(I100)+N(J100))</f>
        <v/>
      </c>
      <c r="L100" s="32" t="str">
        <f aca="false">IF(OR(E100="",F100=""),"",F100*IFERROR(INDEX(Товары!$C$4:$C$200,MATCH(E100,Товары!$B$4:$B$200,0)),0))</f>
        <v/>
      </c>
      <c r="M100" s="32" t="str">
        <f aca="false">IF(I100="","",I100-L100)</f>
        <v/>
      </c>
      <c r="N100" s="28"/>
      <c r="O100" s="28"/>
      <c r="P100" s="28"/>
      <c r="Q100" s="28"/>
      <c r="R100" s="35"/>
      <c r="S100" s="28"/>
    </row>
    <row r="101" customFormat="false" ht="15" hidden="false" customHeight="false" outlineLevel="0" collapsed="false">
      <c r="A101" s="34" t="str">
        <f aca="false">IF(E101="","",ROW()-3)</f>
        <v/>
      </c>
      <c r="B101" s="35"/>
      <c r="C101" s="28"/>
      <c r="D101" s="28"/>
      <c r="E101" s="28"/>
      <c r="F101" s="28"/>
      <c r="G101" s="32" t="str">
        <f aca="false">IF(E101="","",IFERROR(INDEX(Товары!$D$4:$D$200,MATCH(E101,Товары!$B$4:$B$200,0)),0))</f>
        <v/>
      </c>
      <c r="H101" s="29"/>
      <c r="I101" s="32" t="str">
        <f aca="false">IF(OR(E101="",F101=""),"",F101*G101-N(H101))</f>
        <v/>
      </c>
      <c r="J101" s="29"/>
      <c r="K101" s="32" t="str">
        <f aca="false">IF(AND(I101="",N(J101)=0),"",N(I101)+N(J101))</f>
        <v/>
      </c>
      <c r="L101" s="32" t="str">
        <f aca="false">IF(OR(E101="",F101=""),"",F101*IFERROR(INDEX(Товары!$C$4:$C$200,MATCH(E101,Товары!$B$4:$B$200,0)),0))</f>
        <v/>
      </c>
      <c r="M101" s="32" t="str">
        <f aca="false">IF(I101="","",I101-L101)</f>
        <v/>
      </c>
      <c r="N101" s="28"/>
      <c r="O101" s="28"/>
      <c r="P101" s="28"/>
      <c r="Q101" s="28"/>
      <c r="R101" s="35"/>
      <c r="S101" s="28"/>
    </row>
    <row r="102" customFormat="false" ht="15" hidden="false" customHeight="false" outlineLevel="0" collapsed="false">
      <c r="A102" s="34" t="str">
        <f aca="false">IF(E102="","",ROW()-3)</f>
        <v/>
      </c>
      <c r="B102" s="35"/>
      <c r="C102" s="28"/>
      <c r="D102" s="28"/>
      <c r="E102" s="28"/>
      <c r="F102" s="28"/>
      <c r="G102" s="32" t="str">
        <f aca="false">IF(E102="","",IFERROR(INDEX(Товары!$D$4:$D$200,MATCH(E102,Товары!$B$4:$B$200,0)),0))</f>
        <v/>
      </c>
      <c r="H102" s="29"/>
      <c r="I102" s="32" t="str">
        <f aca="false">IF(OR(E102="",F102=""),"",F102*G102-N(H102))</f>
        <v/>
      </c>
      <c r="J102" s="29"/>
      <c r="K102" s="32" t="str">
        <f aca="false">IF(AND(I102="",N(J102)=0),"",N(I102)+N(J102))</f>
        <v/>
      </c>
      <c r="L102" s="32" t="str">
        <f aca="false">IF(OR(E102="",F102=""),"",F102*IFERROR(INDEX(Товары!$C$4:$C$200,MATCH(E102,Товары!$B$4:$B$200,0)),0))</f>
        <v/>
      </c>
      <c r="M102" s="32" t="str">
        <f aca="false">IF(I102="","",I102-L102)</f>
        <v/>
      </c>
      <c r="N102" s="28"/>
      <c r="O102" s="28"/>
      <c r="P102" s="28"/>
      <c r="Q102" s="28"/>
      <c r="R102" s="35"/>
      <c r="S102" s="28"/>
    </row>
    <row r="103" customFormat="false" ht="15" hidden="false" customHeight="false" outlineLevel="0" collapsed="false">
      <c r="A103" s="34" t="str">
        <f aca="false">IF(E103="","",ROW()-3)</f>
        <v/>
      </c>
      <c r="B103" s="35"/>
      <c r="C103" s="28"/>
      <c r="D103" s="28"/>
      <c r="E103" s="28"/>
      <c r="F103" s="28"/>
      <c r="G103" s="32" t="str">
        <f aca="false">IF(E103="","",IFERROR(INDEX(Товары!$D$4:$D$200,MATCH(E103,Товары!$B$4:$B$200,0)),0))</f>
        <v/>
      </c>
      <c r="H103" s="29"/>
      <c r="I103" s="32" t="str">
        <f aca="false">IF(OR(E103="",F103=""),"",F103*G103-N(H103))</f>
        <v/>
      </c>
      <c r="J103" s="29"/>
      <c r="K103" s="32" t="str">
        <f aca="false">IF(AND(I103="",N(J103)=0),"",N(I103)+N(J103))</f>
        <v/>
      </c>
      <c r="L103" s="32" t="str">
        <f aca="false">IF(OR(E103="",F103=""),"",F103*IFERROR(INDEX(Товары!$C$4:$C$200,MATCH(E103,Товары!$B$4:$B$200,0)),0))</f>
        <v/>
      </c>
      <c r="M103" s="32" t="str">
        <f aca="false">IF(I103="","",I103-L103)</f>
        <v/>
      </c>
      <c r="N103" s="28"/>
      <c r="O103" s="28"/>
      <c r="P103" s="28"/>
      <c r="Q103" s="28"/>
      <c r="R103" s="35"/>
      <c r="S103" s="28"/>
    </row>
    <row r="104" customFormat="false" ht="15" hidden="false" customHeight="false" outlineLevel="0" collapsed="false">
      <c r="A104" s="34" t="str">
        <f aca="false">IF(E104="","",ROW()-3)</f>
        <v/>
      </c>
      <c r="B104" s="35"/>
      <c r="C104" s="28"/>
      <c r="D104" s="28"/>
      <c r="E104" s="28"/>
      <c r="F104" s="28"/>
      <c r="G104" s="32" t="str">
        <f aca="false">IF(E104="","",IFERROR(INDEX(Товары!$D$4:$D$200,MATCH(E104,Товары!$B$4:$B$200,0)),0))</f>
        <v/>
      </c>
      <c r="H104" s="29"/>
      <c r="I104" s="32" t="str">
        <f aca="false">IF(OR(E104="",F104=""),"",F104*G104-N(H104))</f>
        <v/>
      </c>
      <c r="J104" s="29"/>
      <c r="K104" s="32" t="str">
        <f aca="false">IF(AND(I104="",N(J104)=0),"",N(I104)+N(J104))</f>
        <v/>
      </c>
      <c r="L104" s="32" t="str">
        <f aca="false">IF(OR(E104="",F104=""),"",F104*IFERROR(INDEX(Товары!$C$4:$C$200,MATCH(E104,Товары!$B$4:$B$200,0)),0))</f>
        <v/>
      </c>
      <c r="M104" s="32" t="str">
        <f aca="false">IF(I104="","",I104-L104)</f>
        <v/>
      </c>
      <c r="N104" s="28"/>
      <c r="O104" s="28"/>
      <c r="P104" s="28"/>
      <c r="Q104" s="28"/>
      <c r="R104" s="35"/>
      <c r="S104" s="28"/>
    </row>
    <row r="105" customFormat="false" ht="15" hidden="false" customHeight="false" outlineLevel="0" collapsed="false">
      <c r="A105" s="34" t="str">
        <f aca="false">IF(E105="","",ROW()-3)</f>
        <v/>
      </c>
      <c r="B105" s="35"/>
      <c r="C105" s="28"/>
      <c r="D105" s="28"/>
      <c r="E105" s="28"/>
      <c r="F105" s="28"/>
      <c r="G105" s="32" t="str">
        <f aca="false">IF(E105="","",IFERROR(INDEX(Товары!$D$4:$D$200,MATCH(E105,Товары!$B$4:$B$200,0)),0))</f>
        <v/>
      </c>
      <c r="H105" s="29"/>
      <c r="I105" s="32" t="str">
        <f aca="false">IF(OR(E105="",F105=""),"",F105*G105-N(H105))</f>
        <v/>
      </c>
      <c r="J105" s="29"/>
      <c r="K105" s="32" t="str">
        <f aca="false">IF(AND(I105="",N(J105)=0),"",N(I105)+N(J105))</f>
        <v/>
      </c>
      <c r="L105" s="32" t="str">
        <f aca="false">IF(OR(E105="",F105=""),"",F105*IFERROR(INDEX(Товары!$C$4:$C$200,MATCH(E105,Товары!$B$4:$B$200,0)),0))</f>
        <v/>
      </c>
      <c r="M105" s="32" t="str">
        <f aca="false">IF(I105="","",I105-L105)</f>
        <v/>
      </c>
      <c r="N105" s="28"/>
      <c r="O105" s="28"/>
      <c r="P105" s="28"/>
      <c r="Q105" s="28"/>
      <c r="R105" s="35"/>
      <c r="S105" s="28"/>
    </row>
    <row r="106" customFormat="false" ht="15" hidden="false" customHeight="false" outlineLevel="0" collapsed="false">
      <c r="A106" s="34" t="str">
        <f aca="false">IF(E106="","",ROW()-3)</f>
        <v/>
      </c>
      <c r="B106" s="35"/>
      <c r="C106" s="28"/>
      <c r="D106" s="28"/>
      <c r="E106" s="28"/>
      <c r="F106" s="28"/>
      <c r="G106" s="32" t="str">
        <f aca="false">IF(E106="","",IFERROR(INDEX(Товары!$D$4:$D$200,MATCH(E106,Товары!$B$4:$B$200,0)),0))</f>
        <v/>
      </c>
      <c r="H106" s="29"/>
      <c r="I106" s="32" t="str">
        <f aca="false">IF(OR(E106="",F106=""),"",F106*G106-N(H106))</f>
        <v/>
      </c>
      <c r="J106" s="29"/>
      <c r="K106" s="32" t="str">
        <f aca="false">IF(AND(I106="",N(J106)=0),"",N(I106)+N(J106))</f>
        <v/>
      </c>
      <c r="L106" s="32" t="str">
        <f aca="false">IF(OR(E106="",F106=""),"",F106*IFERROR(INDEX(Товары!$C$4:$C$200,MATCH(E106,Товары!$B$4:$B$200,0)),0))</f>
        <v/>
      </c>
      <c r="M106" s="32" t="str">
        <f aca="false">IF(I106="","",I106-L106)</f>
        <v/>
      </c>
      <c r="N106" s="28"/>
      <c r="O106" s="28"/>
      <c r="P106" s="28"/>
      <c r="Q106" s="28"/>
      <c r="R106" s="35"/>
      <c r="S106" s="28"/>
    </row>
    <row r="107" customFormat="false" ht="15" hidden="false" customHeight="false" outlineLevel="0" collapsed="false">
      <c r="A107" s="34" t="str">
        <f aca="false">IF(E107="","",ROW()-3)</f>
        <v/>
      </c>
      <c r="B107" s="35"/>
      <c r="C107" s="28"/>
      <c r="D107" s="28"/>
      <c r="E107" s="28"/>
      <c r="F107" s="28"/>
      <c r="G107" s="32" t="str">
        <f aca="false">IF(E107="","",IFERROR(INDEX(Товары!$D$4:$D$200,MATCH(E107,Товары!$B$4:$B$200,0)),0))</f>
        <v/>
      </c>
      <c r="H107" s="29"/>
      <c r="I107" s="32" t="str">
        <f aca="false">IF(OR(E107="",F107=""),"",F107*G107-N(H107))</f>
        <v/>
      </c>
      <c r="J107" s="29"/>
      <c r="K107" s="32" t="str">
        <f aca="false">IF(AND(I107="",N(J107)=0),"",N(I107)+N(J107))</f>
        <v/>
      </c>
      <c r="L107" s="32" t="str">
        <f aca="false">IF(OR(E107="",F107=""),"",F107*IFERROR(INDEX(Товары!$C$4:$C$200,MATCH(E107,Товары!$B$4:$B$200,0)),0))</f>
        <v/>
      </c>
      <c r="M107" s="32" t="str">
        <f aca="false">IF(I107="","",I107-L107)</f>
        <v/>
      </c>
      <c r="N107" s="28"/>
      <c r="O107" s="28"/>
      <c r="P107" s="28"/>
      <c r="Q107" s="28"/>
      <c r="R107" s="35"/>
      <c r="S107" s="28"/>
    </row>
    <row r="108" customFormat="false" ht="15" hidden="false" customHeight="false" outlineLevel="0" collapsed="false">
      <c r="A108" s="34" t="str">
        <f aca="false">IF(E108="","",ROW()-3)</f>
        <v/>
      </c>
      <c r="B108" s="35"/>
      <c r="C108" s="28"/>
      <c r="D108" s="28"/>
      <c r="E108" s="28"/>
      <c r="F108" s="28"/>
      <c r="G108" s="32" t="str">
        <f aca="false">IF(E108="","",IFERROR(INDEX(Товары!$D$4:$D$200,MATCH(E108,Товары!$B$4:$B$200,0)),0))</f>
        <v/>
      </c>
      <c r="H108" s="29"/>
      <c r="I108" s="32" t="str">
        <f aca="false">IF(OR(E108="",F108=""),"",F108*G108-N(H108))</f>
        <v/>
      </c>
      <c r="J108" s="29"/>
      <c r="K108" s="32" t="str">
        <f aca="false">IF(AND(I108="",N(J108)=0),"",N(I108)+N(J108))</f>
        <v/>
      </c>
      <c r="L108" s="32" t="str">
        <f aca="false">IF(OR(E108="",F108=""),"",F108*IFERROR(INDEX(Товары!$C$4:$C$200,MATCH(E108,Товары!$B$4:$B$200,0)),0))</f>
        <v/>
      </c>
      <c r="M108" s="32" t="str">
        <f aca="false">IF(I108="","",I108-L108)</f>
        <v/>
      </c>
      <c r="N108" s="28"/>
      <c r="O108" s="28"/>
      <c r="P108" s="28"/>
      <c r="Q108" s="28"/>
      <c r="R108" s="35"/>
      <c r="S108" s="28"/>
    </row>
    <row r="109" customFormat="false" ht="15" hidden="false" customHeight="false" outlineLevel="0" collapsed="false">
      <c r="A109" s="34" t="str">
        <f aca="false">IF(E109="","",ROW()-3)</f>
        <v/>
      </c>
      <c r="B109" s="35"/>
      <c r="C109" s="28"/>
      <c r="D109" s="28"/>
      <c r="E109" s="28"/>
      <c r="F109" s="28"/>
      <c r="G109" s="32" t="str">
        <f aca="false">IF(E109="","",IFERROR(INDEX(Товары!$D$4:$D$200,MATCH(E109,Товары!$B$4:$B$200,0)),0))</f>
        <v/>
      </c>
      <c r="H109" s="29"/>
      <c r="I109" s="32" t="str">
        <f aca="false">IF(OR(E109="",F109=""),"",F109*G109-N(H109))</f>
        <v/>
      </c>
      <c r="J109" s="29"/>
      <c r="K109" s="32" t="str">
        <f aca="false">IF(AND(I109="",N(J109)=0),"",N(I109)+N(J109))</f>
        <v/>
      </c>
      <c r="L109" s="32" t="str">
        <f aca="false">IF(OR(E109="",F109=""),"",F109*IFERROR(INDEX(Товары!$C$4:$C$200,MATCH(E109,Товары!$B$4:$B$200,0)),0))</f>
        <v/>
      </c>
      <c r="M109" s="32" t="str">
        <f aca="false">IF(I109="","",I109-L109)</f>
        <v/>
      </c>
      <c r="N109" s="28"/>
      <c r="O109" s="28"/>
      <c r="P109" s="28"/>
      <c r="Q109" s="28"/>
      <c r="R109" s="35"/>
      <c r="S109" s="28"/>
    </row>
    <row r="110" customFormat="false" ht="15" hidden="false" customHeight="false" outlineLevel="0" collapsed="false">
      <c r="A110" s="34" t="str">
        <f aca="false">IF(E110="","",ROW()-3)</f>
        <v/>
      </c>
      <c r="B110" s="35"/>
      <c r="C110" s="28"/>
      <c r="D110" s="28"/>
      <c r="E110" s="28"/>
      <c r="F110" s="28"/>
      <c r="G110" s="32" t="str">
        <f aca="false">IF(E110="","",IFERROR(INDEX(Товары!$D$4:$D$200,MATCH(E110,Товары!$B$4:$B$200,0)),0))</f>
        <v/>
      </c>
      <c r="H110" s="29"/>
      <c r="I110" s="32" t="str">
        <f aca="false">IF(OR(E110="",F110=""),"",F110*G110-N(H110))</f>
        <v/>
      </c>
      <c r="J110" s="29"/>
      <c r="K110" s="32" t="str">
        <f aca="false">IF(AND(I110="",N(J110)=0),"",N(I110)+N(J110))</f>
        <v/>
      </c>
      <c r="L110" s="32" t="str">
        <f aca="false">IF(OR(E110="",F110=""),"",F110*IFERROR(INDEX(Товары!$C$4:$C$200,MATCH(E110,Товары!$B$4:$B$200,0)),0))</f>
        <v/>
      </c>
      <c r="M110" s="32" t="str">
        <f aca="false">IF(I110="","",I110-L110)</f>
        <v/>
      </c>
      <c r="N110" s="28"/>
      <c r="O110" s="28"/>
      <c r="P110" s="28"/>
      <c r="Q110" s="28"/>
      <c r="R110" s="35"/>
      <c r="S110" s="28"/>
    </row>
    <row r="111" customFormat="false" ht="15" hidden="false" customHeight="false" outlineLevel="0" collapsed="false">
      <c r="A111" s="34" t="str">
        <f aca="false">IF(E111="","",ROW()-3)</f>
        <v/>
      </c>
      <c r="B111" s="35"/>
      <c r="C111" s="28"/>
      <c r="D111" s="28"/>
      <c r="E111" s="28"/>
      <c r="F111" s="28"/>
      <c r="G111" s="32" t="str">
        <f aca="false">IF(E111="","",IFERROR(INDEX(Товары!$D$4:$D$200,MATCH(E111,Товары!$B$4:$B$200,0)),0))</f>
        <v/>
      </c>
      <c r="H111" s="29"/>
      <c r="I111" s="32" t="str">
        <f aca="false">IF(OR(E111="",F111=""),"",F111*G111-N(H111))</f>
        <v/>
      </c>
      <c r="J111" s="29"/>
      <c r="K111" s="32" t="str">
        <f aca="false">IF(AND(I111="",N(J111)=0),"",N(I111)+N(J111))</f>
        <v/>
      </c>
      <c r="L111" s="32" t="str">
        <f aca="false">IF(OR(E111="",F111=""),"",F111*IFERROR(INDEX(Товары!$C$4:$C$200,MATCH(E111,Товары!$B$4:$B$200,0)),0))</f>
        <v/>
      </c>
      <c r="M111" s="32" t="str">
        <f aca="false">IF(I111="","",I111-L111)</f>
        <v/>
      </c>
      <c r="N111" s="28"/>
      <c r="O111" s="28"/>
      <c r="P111" s="28"/>
      <c r="Q111" s="28"/>
      <c r="R111" s="35"/>
      <c r="S111" s="28"/>
    </row>
    <row r="112" customFormat="false" ht="15" hidden="false" customHeight="false" outlineLevel="0" collapsed="false">
      <c r="A112" s="34" t="str">
        <f aca="false">IF(E112="","",ROW()-3)</f>
        <v/>
      </c>
      <c r="B112" s="35"/>
      <c r="C112" s="28"/>
      <c r="D112" s="28"/>
      <c r="E112" s="28"/>
      <c r="F112" s="28"/>
      <c r="G112" s="32" t="str">
        <f aca="false">IF(E112="","",IFERROR(INDEX(Товары!$D$4:$D$200,MATCH(E112,Товары!$B$4:$B$200,0)),0))</f>
        <v/>
      </c>
      <c r="H112" s="29"/>
      <c r="I112" s="32" t="str">
        <f aca="false">IF(OR(E112="",F112=""),"",F112*G112-N(H112))</f>
        <v/>
      </c>
      <c r="J112" s="29"/>
      <c r="K112" s="32" t="str">
        <f aca="false">IF(AND(I112="",N(J112)=0),"",N(I112)+N(J112))</f>
        <v/>
      </c>
      <c r="L112" s="32" t="str">
        <f aca="false">IF(OR(E112="",F112=""),"",F112*IFERROR(INDEX(Товары!$C$4:$C$200,MATCH(E112,Товары!$B$4:$B$200,0)),0))</f>
        <v/>
      </c>
      <c r="M112" s="32" t="str">
        <f aca="false">IF(I112="","",I112-L112)</f>
        <v/>
      </c>
      <c r="N112" s="28"/>
      <c r="O112" s="28"/>
      <c r="P112" s="28"/>
      <c r="Q112" s="28"/>
      <c r="R112" s="35"/>
      <c r="S112" s="28"/>
    </row>
    <row r="113" customFormat="false" ht="15" hidden="false" customHeight="false" outlineLevel="0" collapsed="false">
      <c r="A113" s="34" t="str">
        <f aca="false">IF(E113="","",ROW()-3)</f>
        <v/>
      </c>
      <c r="B113" s="35"/>
      <c r="C113" s="28"/>
      <c r="D113" s="28"/>
      <c r="E113" s="28"/>
      <c r="F113" s="28"/>
      <c r="G113" s="32" t="str">
        <f aca="false">IF(E113="","",IFERROR(INDEX(Товары!$D$4:$D$200,MATCH(E113,Товары!$B$4:$B$200,0)),0))</f>
        <v/>
      </c>
      <c r="H113" s="29"/>
      <c r="I113" s="32" t="str">
        <f aca="false">IF(OR(E113="",F113=""),"",F113*G113-N(H113))</f>
        <v/>
      </c>
      <c r="J113" s="29"/>
      <c r="K113" s="32" t="str">
        <f aca="false">IF(AND(I113="",N(J113)=0),"",N(I113)+N(J113))</f>
        <v/>
      </c>
      <c r="L113" s="32" t="str">
        <f aca="false">IF(OR(E113="",F113=""),"",F113*IFERROR(INDEX(Товары!$C$4:$C$200,MATCH(E113,Товары!$B$4:$B$200,0)),0))</f>
        <v/>
      </c>
      <c r="M113" s="32" t="str">
        <f aca="false">IF(I113="","",I113-L113)</f>
        <v/>
      </c>
      <c r="N113" s="28"/>
      <c r="O113" s="28"/>
      <c r="P113" s="28"/>
      <c r="Q113" s="28"/>
      <c r="R113" s="35"/>
      <c r="S113" s="28"/>
    </row>
    <row r="114" customFormat="false" ht="15" hidden="false" customHeight="false" outlineLevel="0" collapsed="false">
      <c r="A114" s="34" t="str">
        <f aca="false">IF(E114="","",ROW()-3)</f>
        <v/>
      </c>
      <c r="B114" s="35"/>
      <c r="C114" s="28"/>
      <c r="D114" s="28"/>
      <c r="E114" s="28"/>
      <c r="F114" s="28"/>
      <c r="G114" s="32" t="str">
        <f aca="false">IF(E114="","",IFERROR(INDEX(Товары!$D$4:$D$200,MATCH(E114,Товары!$B$4:$B$200,0)),0))</f>
        <v/>
      </c>
      <c r="H114" s="29"/>
      <c r="I114" s="32" t="str">
        <f aca="false">IF(OR(E114="",F114=""),"",F114*G114-N(H114))</f>
        <v/>
      </c>
      <c r="J114" s="29"/>
      <c r="K114" s="32" t="str">
        <f aca="false">IF(AND(I114="",N(J114)=0),"",N(I114)+N(J114))</f>
        <v/>
      </c>
      <c r="L114" s="32" t="str">
        <f aca="false">IF(OR(E114="",F114=""),"",F114*IFERROR(INDEX(Товары!$C$4:$C$200,MATCH(E114,Товары!$B$4:$B$200,0)),0))</f>
        <v/>
      </c>
      <c r="M114" s="32" t="str">
        <f aca="false">IF(I114="","",I114-L114)</f>
        <v/>
      </c>
      <c r="N114" s="28"/>
      <c r="O114" s="28"/>
      <c r="P114" s="28"/>
      <c r="Q114" s="28"/>
      <c r="R114" s="35"/>
      <c r="S114" s="28"/>
    </row>
    <row r="115" customFormat="false" ht="15" hidden="false" customHeight="false" outlineLevel="0" collapsed="false">
      <c r="A115" s="34" t="str">
        <f aca="false">IF(E115="","",ROW()-3)</f>
        <v/>
      </c>
      <c r="B115" s="35"/>
      <c r="C115" s="28"/>
      <c r="D115" s="28"/>
      <c r="E115" s="28"/>
      <c r="F115" s="28"/>
      <c r="G115" s="32" t="str">
        <f aca="false">IF(E115="","",IFERROR(INDEX(Товары!$D$4:$D$200,MATCH(E115,Товары!$B$4:$B$200,0)),0))</f>
        <v/>
      </c>
      <c r="H115" s="29"/>
      <c r="I115" s="32" t="str">
        <f aca="false">IF(OR(E115="",F115=""),"",F115*G115-N(H115))</f>
        <v/>
      </c>
      <c r="J115" s="29"/>
      <c r="K115" s="32" t="str">
        <f aca="false">IF(AND(I115="",N(J115)=0),"",N(I115)+N(J115))</f>
        <v/>
      </c>
      <c r="L115" s="32" t="str">
        <f aca="false">IF(OR(E115="",F115=""),"",F115*IFERROR(INDEX(Товары!$C$4:$C$200,MATCH(E115,Товары!$B$4:$B$200,0)),0))</f>
        <v/>
      </c>
      <c r="M115" s="32" t="str">
        <f aca="false">IF(I115="","",I115-L115)</f>
        <v/>
      </c>
      <c r="N115" s="28"/>
      <c r="O115" s="28"/>
      <c r="P115" s="28"/>
      <c r="Q115" s="28"/>
      <c r="R115" s="35"/>
      <c r="S115" s="28"/>
    </row>
    <row r="116" customFormat="false" ht="15" hidden="false" customHeight="false" outlineLevel="0" collapsed="false">
      <c r="A116" s="34" t="str">
        <f aca="false">IF(E116="","",ROW()-3)</f>
        <v/>
      </c>
      <c r="B116" s="35"/>
      <c r="C116" s="28"/>
      <c r="D116" s="28"/>
      <c r="E116" s="28"/>
      <c r="F116" s="28"/>
      <c r="G116" s="32" t="str">
        <f aca="false">IF(E116="","",IFERROR(INDEX(Товары!$D$4:$D$200,MATCH(E116,Товары!$B$4:$B$200,0)),0))</f>
        <v/>
      </c>
      <c r="H116" s="29"/>
      <c r="I116" s="32" t="str">
        <f aca="false">IF(OR(E116="",F116=""),"",F116*G116-N(H116))</f>
        <v/>
      </c>
      <c r="J116" s="29"/>
      <c r="K116" s="32" t="str">
        <f aca="false">IF(AND(I116="",N(J116)=0),"",N(I116)+N(J116))</f>
        <v/>
      </c>
      <c r="L116" s="32" t="str">
        <f aca="false">IF(OR(E116="",F116=""),"",F116*IFERROR(INDEX(Товары!$C$4:$C$200,MATCH(E116,Товары!$B$4:$B$200,0)),0))</f>
        <v/>
      </c>
      <c r="M116" s="32" t="str">
        <f aca="false">IF(I116="","",I116-L116)</f>
        <v/>
      </c>
      <c r="N116" s="28"/>
      <c r="O116" s="28"/>
      <c r="P116" s="28"/>
      <c r="Q116" s="28"/>
      <c r="R116" s="35"/>
      <c r="S116" s="28"/>
    </row>
    <row r="117" customFormat="false" ht="15" hidden="false" customHeight="false" outlineLevel="0" collapsed="false">
      <c r="A117" s="34" t="str">
        <f aca="false">IF(E117="","",ROW()-3)</f>
        <v/>
      </c>
      <c r="B117" s="35"/>
      <c r="C117" s="28"/>
      <c r="D117" s="28"/>
      <c r="E117" s="28"/>
      <c r="F117" s="28"/>
      <c r="G117" s="32" t="str">
        <f aca="false">IF(E117="","",IFERROR(INDEX(Товары!$D$4:$D$200,MATCH(E117,Товары!$B$4:$B$200,0)),0))</f>
        <v/>
      </c>
      <c r="H117" s="29"/>
      <c r="I117" s="32" t="str">
        <f aca="false">IF(OR(E117="",F117=""),"",F117*G117-N(H117))</f>
        <v/>
      </c>
      <c r="J117" s="29"/>
      <c r="K117" s="32" t="str">
        <f aca="false">IF(AND(I117="",N(J117)=0),"",N(I117)+N(J117))</f>
        <v/>
      </c>
      <c r="L117" s="32" t="str">
        <f aca="false">IF(OR(E117="",F117=""),"",F117*IFERROR(INDEX(Товары!$C$4:$C$200,MATCH(E117,Товары!$B$4:$B$200,0)),0))</f>
        <v/>
      </c>
      <c r="M117" s="32" t="str">
        <f aca="false">IF(I117="","",I117-L117)</f>
        <v/>
      </c>
      <c r="N117" s="28"/>
      <c r="O117" s="28"/>
      <c r="P117" s="28"/>
      <c r="Q117" s="28"/>
      <c r="R117" s="35"/>
      <c r="S117" s="28"/>
    </row>
    <row r="118" customFormat="false" ht="15" hidden="false" customHeight="false" outlineLevel="0" collapsed="false">
      <c r="A118" s="34" t="str">
        <f aca="false">IF(E118="","",ROW()-3)</f>
        <v/>
      </c>
      <c r="B118" s="35"/>
      <c r="C118" s="28"/>
      <c r="D118" s="28"/>
      <c r="E118" s="28"/>
      <c r="F118" s="28"/>
      <c r="G118" s="32" t="str">
        <f aca="false">IF(E118="","",IFERROR(INDEX(Товары!$D$4:$D$200,MATCH(E118,Товары!$B$4:$B$200,0)),0))</f>
        <v/>
      </c>
      <c r="H118" s="29"/>
      <c r="I118" s="32" t="str">
        <f aca="false">IF(OR(E118="",F118=""),"",F118*G118-N(H118))</f>
        <v/>
      </c>
      <c r="J118" s="29"/>
      <c r="K118" s="32" t="str">
        <f aca="false">IF(AND(I118="",N(J118)=0),"",N(I118)+N(J118))</f>
        <v/>
      </c>
      <c r="L118" s="32" t="str">
        <f aca="false">IF(OR(E118="",F118=""),"",F118*IFERROR(INDEX(Товары!$C$4:$C$200,MATCH(E118,Товары!$B$4:$B$200,0)),0))</f>
        <v/>
      </c>
      <c r="M118" s="32" t="str">
        <f aca="false">IF(I118="","",I118-L118)</f>
        <v/>
      </c>
      <c r="N118" s="28"/>
      <c r="O118" s="28"/>
      <c r="P118" s="28"/>
      <c r="Q118" s="28"/>
      <c r="R118" s="35"/>
      <c r="S118" s="28"/>
    </row>
    <row r="119" customFormat="false" ht="15" hidden="false" customHeight="false" outlineLevel="0" collapsed="false">
      <c r="A119" s="34" t="str">
        <f aca="false">IF(E119="","",ROW()-3)</f>
        <v/>
      </c>
      <c r="B119" s="35"/>
      <c r="C119" s="28"/>
      <c r="D119" s="28"/>
      <c r="E119" s="28"/>
      <c r="F119" s="28"/>
      <c r="G119" s="32" t="str">
        <f aca="false">IF(E119="","",IFERROR(INDEX(Товары!$D$4:$D$200,MATCH(E119,Товары!$B$4:$B$200,0)),0))</f>
        <v/>
      </c>
      <c r="H119" s="29"/>
      <c r="I119" s="32" t="str">
        <f aca="false">IF(OR(E119="",F119=""),"",F119*G119-N(H119))</f>
        <v/>
      </c>
      <c r="J119" s="29"/>
      <c r="K119" s="32" t="str">
        <f aca="false">IF(AND(I119="",N(J119)=0),"",N(I119)+N(J119))</f>
        <v/>
      </c>
      <c r="L119" s="32" t="str">
        <f aca="false">IF(OR(E119="",F119=""),"",F119*IFERROR(INDEX(Товары!$C$4:$C$200,MATCH(E119,Товары!$B$4:$B$200,0)),0))</f>
        <v/>
      </c>
      <c r="M119" s="32" t="str">
        <f aca="false">IF(I119="","",I119-L119)</f>
        <v/>
      </c>
      <c r="N119" s="28"/>
      <c r="O119" s="28"/>
      <c r="P119" s="28"/>
      <c r="Q119" s="28"/>
      <c r="R119" s="35"/>
      <c r="S119" s="28"/>
    </row>
    <row r="120" customFormat="false" ht="15" hidden="false" customHeight="false" outlineLevel="0" collapsed="false">
      <c r="A120" s="34" t="str">
        <f aca="false">IF(E120="","",ROW()-3)</f>
        <v/>
      </c>
      <c r="B120" s="35"/>
      <c r="C120" s="28"/>
      <c r="D120" s="28"/>
      <c r="E120" s="28"/>
      <c r="F120" s="28"/>
      <c r="G120" s="32" t="str">
        <f aca="false">IF(E120="","",IFERROR(INDEX(Товары!$D$4:$D$200,MATCH(E120,Товары!$B$4:$B$200,0)),0))</f>
        <v/>
      </c>
      <c r="H120" s="29"/>
      <c r="I120" s="32" t="str">
        <f aca="false">IF(OR(E120="",F120=""),"",F120*G120-N(H120))</f>
        <v/>
      </c>
      <c r="J120" s="29"/>
      <c r="K120" s="32" t="str">
        <f aca="false">IF(AND(I120="",N(J120)=0),"",N(I120)+N(J120))</f>
        <v/>
      </c>
      <c r="L120" s="32" t="str">
        <f aca="false">IF(OR(E120="",F120=""),"",F120*IFERROR(INDEX(Товары!$C$4:$C$200,MATCH(E120,Товары!$B$4:$B$200,0)),0))</f>
        <v/>
      </c>
      <c r="M120" s="32" t="str">
        <f aca="false">IF(I120="","",I120-L120)</f>
        <v/>
      </c>
      <c r="N120" s="28"/>
      <c r="O120" s="28"/>
      <c r="P120" s="28"/>
      <c r="Q120" s="28"/>
      <c r="R120" s="35"/>
      <c r="S120" s="28"/>
    </row>
    <row r="121" customFormat="false" ht="15" hidden="false" customHeight="false" outlineLevel="0" collapsed="false">
      <c r="A121" s="34" t="str">
        <f aca="false">IF(E121="","",ROW()-3)</f>
        <v/>
      </c>
      <c r="B121" s="35"/>
      <c r="C121" s="28"/>
      <c r="D121" s="28"/>
      <c r="E121" s="28"/>
      <c r="F121" s="28"/>
      <c r="G121" s="32" t="str">
        <f aca="false">IF(E121="","",IFERROR(INDEX(Товары!$D$4:$D$200,MATCH(E121,Товары!$B$4:$B$200,0)),0))</f>
        <v/>
      </c>
      <c r="H121" s="29"/>
      <c r="I121" s="32" t="str">
        <f aca="false">IF(OR(E121="",F121=""),"",F121*G121-N(H121))</f>
        <v/>
      </c>
      <c r="J121" s="29"/>
      <c r="K121" s="32" t="str">
        <f aca="false">IF(AND(I121="",N(J121)=0),"",N(I121)+N(J121))</f>
        <v/>
      </c>
      <c r="L121" s="32" t="str">
        <f aca="false">IF(OR(E121="",F121=""),"",F121*IFERROR(INDEX(Товары!$C$4:$C$200,MATCH(E121,Товары!$B$4:$B$200,0)),0))</f>
        <v/>
      </c>
      <c r="M121" s="32" t="str">
        <f aca="false">IF(I121="","",I121-L121)</f>
        <v/>
      </c>
      <c r="N121" s="28"/>
      <c r="O121" s="28"/>
      <c r="P121" s="28"/>
      <c r="Q121" s="28"/>
      <c r="R121" s="35"/>
      <c r="S121" s="28"/>
    </row>
    <row r="122" customFormat="false" ht="15" hidden="false" customHeight="false" outlineLevel="0" collapsed="false">
      <c r="A122" s="34" t="str">
        <f aca="false">IF(E122="","",ROW()-3)</f>
        <v/>
      </c>
      <c r="B122" s="35"/>
      <c r="C122" s="28"/>
      <c r="D122" s="28"/>
      <c r="E122" s="28"/>
      <c r="F122" s="28"/>
      <c r="G122" s="32" t="str">
        <f aca="false">IF(E122="","",IFERROR(INDEX(Товары!$D$4:$D$200,MATCH(E122,Товары!$B$4:$B$200,0)),0))</f>
        <v/>
      </c>
      <c r="H122" s="29"/>
      <c r="I122" s="32" t="str">
        <f aca="false">IF(OR(E122="",F122=""),"",F122*G122-N(H122))</f>
        <v/>
      </c>
      <c r="J122" s="29"/>
      <c r="K122" s="32" t="str">
        <f aca="false">IF(AND(I122="",N(J122)=0),"",N(I122)+N(J122))</f>
        <v/>
      </c>
      <c r="L122" s="32" t="str">
        <f aca="false">IF(OR(E122="",F122=""),"",F122*IFERROR(INDEX(Товары!$C$4:$C$200,MATCH(E122,Товары!$B$4:$B$200,0)),0))</f>
        <v/>
      </c>
      <c r="M122" s="32" t="str">
        <f aca="false">IF(I122="","",I122-L122)</f>
        <v/>
      </c>
      <c r="N122" s="28"/>
      <c r="O122" s="28"/>
      <c r="P122" s="28"/>
      <c r="Q122" s="28"/>
      <c r="R122" s="35"/>
      <c r="S122" s="28"/>
    </row>
    <row r="123" customFormat="false" ht="15" hidden="false" customHeight="false" outlineLevel="0" collapsed="false">
      <c r="A123" s="34" t="str">
        <f aca="false">IF(E123="","",ROW()-3)</f>
        <v/>
      </c>
      <c r="B123" s="35"/>
      <c r="C123" s="28"/>
      <c r="D123" s="28"/>
      <c r="E123" s="28"/>
      <c r="F123" s="28"/>
      <c r="G123" s="32" t="str">
        <f aca="false">IF(E123="","",IFERROR(INDEX(Товары!$D$4:$D$200,MATCH(E123,Товары!$B$4:$B$200,0)),0))</f>
        <v/>
      </c>
      <c r="H123" s="29"/>
      <c r="I123" s="32" t="str">
        <f aca="false">IF(OR(E123="",F123=""),"",F123*G123-N(H123))</f>
        <v/>
      </c>
      <c r="J123" s="29"/>
      <c r="K123" s="32" t="str">
        <f aca="false">IF(AND(I123="",N(J123)=0),"",N(I123)+N(J123))</f>
        <v/>
      </c>
      <c r="L123" s="32" t="str">
        <f aca="false">IF(OR(E123="",F123=""),"",F123*IFERROR(INDEX(Товары!$C$4:$C$200,MATCH(E123,Товары!$B$4:$B$200,0)),0))</f>
        <v/>
      </c>
      <c r="M123" s="32" t="str">
        <f aca="false">IF(I123="","",I123-L123)</f>
        <v/>
      </c>
      <c r="N123" s="28"/>
      <c r="O123" s="28"/>
      <c r="P123" s="28"/>
      <c r="Q123" s="28"/>
      <c r="R123" s="35"/>
      <c r="S123" s="28"/>
    </row>
    <row r="124" customFormat="false" ht="15" hidden="false" customHeight="false" outlineLevel="0" collapsed="false">
      <c r="A124" s="34" t="str">
        <f aca="false">IF(E124="","",ROW()-3)</f>
        <v/>
      </c>
      <c r="B124" s="35"/>
      <c r="C124" s="28"/>
      <c r="D124" s="28"/>
      <c r="E124" s="28"/>
      <c r="F124" s="28"/>
      <c r="G124" s="32" t="str">
        <f aca="false">IF(E124="","",IFERROR(INDEX(Товары!$D$4:$D$200,MATCH(E124,Товары!$B$4:$B$200,0)),0))</f>
        <v/>
      </c>
      <c r="H124" s="29"/>
      <c r="I124" s="32" t="str">
        <f aca="false">IF(OR(E124="",F124=""),"",F124*G124-N(H124))</f>
        <v/>
      </c>
      <c r="J124" s="29"/>
      <c r="K124" s="32" t="str">
        <f aca="false">IF(AND(I124="",N(J124)=0),"",N(I124)+N(J124))</f>
        <v/>
      </c>
      <c r="L124" s="32" t="str">
        <f aca="false">IF(OR(E124="",F124=""),"",F124*IFERROR(INDEX(Товары!$C$4:$C$200,MATCH(E124,Товары!$B$4:$B$200,0)),0))</f>
        <v/>
      </c>
      <c r="M124" s="32" t="str">
        <f aca="false">IF(I124="","",I124-L124)</f>
        <v/>
      </c>
      <c r="N124" s="28"/>
      <c r="O124" s="28"/>
      <c r="P124" s="28"/>
      <c r="Q124" s="28"/>
      <c r="R124" s="35"/>
      <c r="S124" s="28"/>
    </row>
    <row r="125" customFormat="false" ht="15" hidden="false" customHeight="false" outlineLevel="0" collapsed="false">
      <c r="A125" s="34" t="str">
        <f aca="false">IF(E125="","",ROW()-3)</f>
        <v/>
      </c>
      <c r="B125" s="35"/>
      <c r="C125" s="28"/>
      <c r="D125" s="28"/>
      <c r="E125" s="28"/>
      <c r="F125" s="28"/>
      <c r="G125" s="32" t="str">
        <f aca="false">IF(E125="","",IFERROR(INDEX(Товары!$D$4:$D$200,MATCH(E125,Товары!$B$4:$B$200,0)),0))</f>
        <v/>
      </c>
      <c r="H125" s="29"/>
      <c r="I125" s="32" t="str">
        <f aca="false">IF(OR(E125="",F125=""),"",F125*G125-N(H125))</f>
        <v/>
      </c>
      <c r="J125" s="29"/>
      <c r="K125" s="32" t="str">
        <f aca="false">IF(AND(I125="",N(J125)=0),"",N(I125)+N(J125))</f>
        <v/>
      </c>
      <c r="L125" s="32" t="str">
        <f aca="false">IF(OR(E125="",F125=""),"",F125*IFERROR(INDEX(Товары!$C$4:$C$200,MATCH(E125,Товары!$B$4:$B$200,0)),0))</f>
        <v/>
      </c>
      <c r="M125" s="32" t="str">
        <f aca="false">IF(I125="","",I125-L125)</f>
        <v/>
      </c>
      <c r="N125" s="28"/>
      <c r="O125" s="28"/>
      <c r="P125" s="28"/>
      <c r="Q125" s="28"/>
      <c r="R125" s="35"/>
      <c r="S125" s="28"/>
    </row>
    <row r="126" customFormat="false" ht="15" hidden="false" customHeight="false" outlineLevel="0" collapsed="false">
      <c r="A126" s="34" t="str">
        <f aca="false">IF(E126="","",ROW()-3)</f>
        <v/>
      </c>
      <c r="B126" s="35"/>
      <c r="C126" s="28"/>
      <c r="D126" s="28"/>
      <c r="E126" s="28"/>
      <c r="F126" s="28"/>
      <c r="G126" s="32" t="str">
        <f aca="false">IF(E126="","",IFERROR(INDEX(Товары!$D$4:$D$200,MATCH(E126,Товары!$B$4:$B$200,0)),0))</f>
        <v/>
      </c>
      <c r="H126" s="29"/>
      <c r="I126" s="32" t="str">
        <f aca="false">IF(OR(E126="",F126=""),"",F126*G126-N(H126))</f>
        <v/>
      </c>
      <c r="J126" s="29"/>
      <c r="K126" s="32" t="str">
        <f aca="false">IF(AND(I126="",N(J126)=0),"",N(I126)+N(J126))</f>
        <v/>
      </c>
      <c r="L126" s="32" t="str">
        <f aca="false">IF(OR(E126="",F126=""),"",F126*IFERROR(INDEX(Товары!$C$4:$C$200,MATCH(E126,Товары!$B$4:$B$200,0)),0))</f>
        <v/>
      </c>
      <c r="M126" s="32" t="str">
        <f aca="false">IF(I126="","",I126-L126)</f>
        <v/>
      </c>
      <c r="N126" s="28"/>
      <c r="O126" s="28"/>
      <c r="P126" s="28"/>
      <c r="Q126" s="28"/>
      <c r="R126" s="35"/>
      <c r="S126" s="28"/>
    </row>
    <row r="127" customFormat="false" ht="15" hidden="false" customHeight="false" outlineLevel="0" collapsed="false">
      <c r="A127" s="34" t="str">
        <f aca="false">IF(E127="","",ROW()-3)</f>
        <v/>
      </c>
      <c r="B127" s="35"/>
      <c r="C127" s="28"/>
      <c r="D127" s="28"/>
      <c r="E127" s="28"/>
      <c r="F127" s="28"/>
      <c r="G127" s="32" t="str">
        <f aca="false">IF(E127="","",IFERROR(INDEX(Товары!$D$4:$D$200,MATCH(E127,Товары!$B$4:$B$200,0)),0))</f>
        <v/>
      </c>
      <c r="H127" s="29"/>
      <c r="I127" s="32" t="str">
        <f aca="false">IF(OR(E127="",F127=""),"",F127*G127-N(H127))</f>
        <v/>
      </c>
      <c r="J127" s="29"/>
      <c r="K127" s="32" t="str">
        <f aca="false">IF(AND(I127="",N(J127)=0),"",N(I127)+N(J127))</f>
        <v/>
      </c>
      <c r="L127" s="32" t="str">
        <f aca="false">IF(OR(E127="",F127=""),"",F127*IFERROR(INDEX(Товары!$C$4:$C$200,MATCH(E127,Товары!$B$4:$B$200,0)),0))</f>
        <v/>
      </c>
      <c r="M127" s="32" t="str">
        <f aca="false">IF(I127="","",I127-L127)</f>
        <v/>
      </c>
      <c r="N127" s="28"/>
      <c r="O127" s="28"/>
      <c r="P127" s="28"/>
      <c r="Q127" s="28"/>
      <c r="R127" s="35"/>
      <c r="S127" s="28"/>
    </row>
    <row r="128" customFormat="false" ht="15" hidden="false" customHeight="false" outlineLevel="0" collapsed="false">
      <c r="A128" s="34" t="str">
        <f aca="false">IF(E128="","",ROW()-3)</f>
        <v/>
      </c>
      <c r="B128" s="35"/>
      <c r="C128" s="28"/>
      <c r="D128" s="28"/>
      <c r="E128" s="28"/>
      <c r="F128" s="28"/>
      <c r="G128" s="32" t="str">
        <f aca="false">IF(E128="","",IFERROR(INDEX(Товары!$D$4:$D$200,MATCH(E128,Товары!$B$4:$B$200,0)),0))</f>
        <v/>
      </c>
      <c r="H128" s="29"/>
      <c r="I128" s="32" t="str">
        <f aca="false">IF(OR(E128="",F128=""),"",F128*G128-N(H128))</f>
        <v/>
      </c>
      <c r="J128" s="29"/>
      <c r="K128" s="32" t="str">
        <f aca="false">IF(AND(I128="",N(J128)=0),"",N(I128)+N(J128))</f>
        <v/>
      </c>
      <c r="L128" s="32" t="str">
        <f aca="false">IF(OR(E128="",F128=""),"",F128*IFERROR(INDEX(Товары!$C$4:$C$200,MATCH(E128,Товары!$B$4:$B$200,0)),0))</f>
        <v/>
      </c>
      <c r="M128" s="32" t="str">
        <f aca="false">IF(I128="","",I128-L128)</f>
        <v/>
      </c>
      <c r="N128" s="28"/>
      <c r="O128" s="28"/>
      <c r="P128" s="28"/>
      <c r="Q128" s="28"/>
      <c r="R128" s="35"/>
      <c r="S128" s="28"/>
    </row>
    <row r="129" customFormat="false" ht="15" hidden="false" customHeight="false" outlineLevel="0" collapsed="false">
      <c r="A129" s="34" t="str">
        <f aca="false">IF(E129="","",ROW()-3)</f>
        <v/>
      </c>
      <c r="B129" s="35"/>
      <c r="C129" s="28"/>
      <c r="D129" s="28"/>
      <c r="E129" s="28"/>
      <c r="F129" s="28"/>
      <c r="G129" s="32" t="str">
        <f aca="false">IF(E129="","",IFERROR(INDEX(Товары!$D$4:$D$200,MATCH(E129,Товары!$B$4:$B$200,0)),0))</f>
        <v/>
      </c>
      <c r="H129" s="29"/>
      <c r="I129" s="32" t="str">
        <f aca="false">IF(OR(E129="",F129=""),"",F129*G129-N(H129))</f>
        <v/>
      </c>
      <c r="J129" s="29"/>
      <c r="K129" s="32" t="str">
        <f aca="false">IF(AND(I129="",N(J129)=0),"",N(I129)+N(J129))</f>
        <v/>
      </c>
      <c r="L129" s="32" t="str">
        <f aca="false">IF(OR(E129="",F129=""),"",F129*IFERROR(INDEX(Товары!$C$4:$C$200,MATCH(E129,Товары!$B$4:$B$200,0)),0))</f>
        <v/>
      </c>
      <c r="M129" s="32" t="str">
        <f aca="false">IF(I129="","",I129-L129)</f>
        <v/>
      </c>
      <c r="N129" s="28"/>
      <c r="O129" s="28"/>
      <c r="P129" s="28"/>
      <c r="Q129" s="28"/>
      <c r="R129" s="35"/>
      <c r="S129" s="28"/>
    </row>
    <row r="130" customFormat="false" ht="15" hidden="false" customHeight="false" outlineLevel="0" collapsed="false">
      <c r="A130" s="34" t="str">
        <f aca="false">IF(E130="","",ROW()-3)</f>
        <v/>
      </c>
      <c r="B130" s="35"/>
      <c r="C130" s="28"/>
      <c r="D130" s="28"/>
      <c r="E130" s="28"/>
      <c r="F130" s="28"/>
      <c r="G130" s="32" t="str">
        <f aca="false">IF(E130="","",IFERROR(INDEX(Товары!$D$4:$D$200,MATCH(E130,Товары!$B$4:$B$200,0)),0))</f>
        <v/>
      </c>
      <c r="H130" s="29"/>
      <c r="I130" s="32" t="str">
        <f aca="false">IF(OR(E130="",F130=""),"",F130*G130-N(H130))</f>
        <v/>
      </c>
      <c r="J130" s="29"/>
      <c r="K130" s="32" t="str">
        <f aca="false">IF(AND(I130="",N(J130)=0),"",N(I130)+N(J130))</f>
        <v/>
      </c>
      <c r="L130" s="32" t="str">
        <f aca="false">IF(OR(E130="",F130=""),"",F130*IFERROR(INDEX(Товары!$C$4:$C$200,MATCH(E130,Товары!$B$4:$B$200,0)),0))</f>
        <v/>
      </c>
      <c r="M130" s="32" t="str">
        <f aca="false">IF(I130="","",I130-L130)</f>
        <v/>
      </c>
      <c r="N130" s="28"/>
      <c r="O130" s="28"/>
      <c r="P130" s="28"/>
      <c r="Q130" s="28"/>
      <c r="R130" s="35"/>
      <c r="S130" s="28"/>
    </row>
    <row r="131" customFormat="false" ht="15" hidden="false" customHeight="false" outlineLevel="0" collapsed="false">
      <c r="A131" s="34" t="str">
        <f aca="false">IF(E131="","",ROW()-3)</f>
        <v/>
      </c>
      <c r="B131" s="35"/>
      <c r="C131" s="28"/>
      <c r="D131" s="28"/>
      <c r="E131" s="28"/>
      <c r="F131" s="28"/>
      <c r="G131" s="32" t="str">
        <f aca="false">IF(E131="","",IFERROR(INDEX(Товары!$D$4:$D$200,MATCH(E131,Товары!$B$4:$B$200,0)),0))</f>
        <v/>
      </c>
      <c r="H131" s="29"/>
      <c r="I131" s="32" t="str">
        <f aca="false">IF(OR(E131="",F131=""),"",F131*G131-N(H131))</f>
        <v/>
      </c>
      <c r="J131" s="29"/>
      <c r="K131" s="32" t="str">
        <f aca="false">IF(AND(I131="",N(J131)=0),"",N(I131)+N(J131))</f>
        <v/>
      </c>
      <c r="L131" s="32" t="str">
        <f aca="false">IF(OR(E131="",F131=""),"",F131*IFERROR(INDEX(Товары!$C$4:$C$200,MATCH(E131,Товары!$B$4:$B$200,0)),0))</f>
        <v/>
      </c>
      <c r="M131" s="32" t="str">
        <f aca="false">IF(I131="","",I131-L131)</f>
        <v/>
      </c>
      <c r="N131" s="28"/>
      <c r="O131" s="28"/>
      <c r="P131" s="28"/>
      <c r="Q131" s="28"/>
      <c r="R131" s="35"/>
      <c r="S131" s="28"/>
    </row>
    <row r="132" customFormat="false" ht="15" hidden="false" customHeight="false" outlineLevel="0" collapsed="false">
      <c r="A132" s="34" t="str">
        <f aca="false">IF(E132="","",ROW()-3)</f>
        <v/>
      </c>
      <c r="B132" s="35"/>
      <c r="C132" s="28"/>
      <c r="D132" s="28"/>
      <c r="E132" s="28"/>
      <c r="F132" s="28"/>
      <c r="G132" s="32" t="str">
        <f aca="false">IF(E132="","",IFERROR(INDEX(Товары!$D$4:$D$200,MATCH(E132,Товары!$B$4:$B$200,0)),0))</f>
        <v/>
      </c>
      <c r="H132" s="29"/>
      <c r="I132" s="32" t="str">
        <f aca="false">IF(OR(E132="",F132=""),"",F132*G132-N(H132))</f>
        <v/>
      </c>
      <c r="J132" s="29"/>
      <c r="K132" s="32" t="str">
        <f aca="false">IF(AND(I132="",N(J132)=0),"",N(I132)+N(J132))</f>
        <v/>
      </c>
      <c r="L132" s="32" t="str">
        <f aca="false">IF(OR(E132="",F132=""),"",F132*IFERROR(INDEX(Товары!$C$4:$C$200,MATCH(E132,Товары!$B$4:$B$200,0)),0))</f>
        <v/>
      </c>
      <c r="M132" s="32" t="str">
        <f aca="false">IF(I132="","",I132-L132)</f>
        <v/>
      </c>
      <c r="N132" s="28"/>
      <c r="O132" s="28"/>
      <c r="P132" s="28"/>
      <c r="Q132" s="28"/>
      <c r="R132" s="35"/>
      <c r="S132" s="28"/>
    </row>
    <row r="133" customFormat="false" ht="15" hidden="false" customHeight="false" outlineLevel="0" collapsed="false">
      <c r="A133" s="34" t="str">
        <f aca="false">IF(E133="","",ROW()-3)</f>
        <v/>
      </c>
      <c r="B133" s="35"/>
      <c r="C133" s="28"/>
      <c r="D133" s="28"/>
      <c r="E133" s="28"/>
      <c r="F133" s="28"/>
      <c r="G133" s="32" t="str">
        <f aca="false">IF(E133="","",IFERROR(INDEX(Товары!$D$4:$D$200,MATCH(E133,Товары!$B$4:$B$200,0)),0))</f>
        <v/>
      </c>
      <c r="H133" s="29"/>
      <c r="I133" s="32" t="str">
        <f aca="false">IF(OR(E133="",F133=""),"",F133*G133-N(H133))</f>
        <v/>
      </c>
      <c r="J133" s="29"/>
      <c r="K133" s="32" t="str">
        <f aca="false">IF(AND(I133="",N(J133)=0),"",N(I133)+N(J133))</f>
        <v/>
      </c>
      <c r="L133" s="32" t="str">
        <f aca="false">IF(OR(E133="",F133=""),"",F133*IFERROR(INDEX(Товары!$C$4:$C$200,MATCH(E133,Товары!$B$4:$B$200,0)),0))</f>
        <v/>
      </c>
      <c r="M133" s="32" t="str">
        <f aca="false">IF(I133="","",I133-L133)</f>
        <v/>
      </c>
      <c r="N133" s="28"/>
      <c r="O133" s="28"/>
      <c r="P133" s="28"/>
      <c r="Q133" s="28"/>
      <c r="R133" s="35"/>
      <c r="S133" s="28"/>
    </row>
    <row r="134" customFormat="false" ht="15" hidden="false" customHeight="false" outlineLevel="0" collapsed="false">
      <c r="A134" s="34" t="str">
        <f aca="false">IF(E134="","",ROW()-3)</f>
        <v/>
      </c>
      <c r="B134" s="35"/>
      <c r="C134" s="28"/>
      <c r="D134" s="28"/>
      <c r="E134" s="28"/>
      <c r="F134" s="28"/>
      <c r="G134" s="32" t="str">
        <f aca="false">IF(E134="","",IFERROR(INDEX(Товары!$D$4:$D$200,MATCH(E134,Товары!$B$4:$B$200,0)),0))</f>
        <v/>
      </c>
      <c r="H134" s="29"/>
      <c r="I134" s="32" t="str">
        <f aca="false">IF(OR(E134="",F134=""),"",F134*G134-N(H134))</f>
        <v/>
      </c>
      <c r="J134" s="29"/>
      <c r="K134" s="32" t="str">
        <f aca="false">IF(AND(I134="",N(J134)=0),"",N(I134)+N(J134))</f>
        <v/>
      </c>
      <c r="L134" s="32" t="str">
        <f aca="false">IF(OR(E134="",F134=""),"",F134*IFERROR(INDEX(Товары!$C$4:$C$200,MATCH(E134,Товары!$B$4:$B$200,0)),0))</f>
        <v/>
      </c>
      <c r="M134" s="32" t="str">
        <f aca="false">IF(I134="","",I134-L134)</f>
        <v/>
      </c>
      <c r="N134" s="28"/>
      <c r="O134" s="28"/>
      <c r="P134" s="28"/>
      <c r="Q134" s="28"/>
      <c r="R134" s="35"/>
      <c r="S134" s="28"/>
    </row>
    <row r="135" customFormat="false" ht="15" hidden="false" customHeight="false" outlineLevel="0" collapsed="false">
      <c r="A135" s="34" t="str">
        <f aca="false">IF(E135="","",ROW()-3)</f>
        <v/>
      </c>
      <c r="B135" s="35"/>
      <c r="C135" s="28"/>
      <c r="D135" s="28"/>
      <c r="E135" s="28"/>
      <c r="F135" s="28"/>
      <c r="G135" s="32" t="str">
        <f aca="false">IF(E135="","",IFERROR(INDEX(Товары!$D$4:$D$200,MATCH(E135,Товары!$B$4:$B$200,0)),0))</f>
        <v/>
      </c>
      <c r="H135" s="29"/>
      <c r="I135" s="32" t="str">
        <f aca="false">IF(OR(E135="",F135=""),"",F135*G135-N(H135))</f>
        <v/>
      </c>
      <c r="J135" s="29"/>
      <c r="K135" s="32" t="str">
        <f aca="false">IF(AND(I135="",N(J135)=0),"",N(I135)+N(J135))</f>
        <v/>
      </c>
      <c r="L135" s="32" t="str">
        <f aca="false">IF(OR(E135="",F135=""),"",F135*IFERROR(INDEX(Товары!$C$4:$C$200,MATCH(E135,Товары!$B$4:$B$200,0)),0))</f>
        <v/>
      </c>
      <c r="M135" s="32" t="str">
        <f aca="false">IF(I135="","",I135-L135)</f>
        <v/>
      </c>
      <c r="N135" s="28"/>
      <c r="O135" s="28"/>
      <c r="P135" s="28"/>
      <c r="Q135" s="28"/>
      <c r="R135" s="35"/>
      <c r="S135" s="28"/>
    </row>
    <row r="136" customFormat="false" ht="15" hidden="false" customHeight="false" outlineLevel="0" collapsed="false">
      <c r="A136" s="34" t="str">
        <f aca="false">IF(E136="","",ROW()-3)</f>
        <v/>
      </c>
      <c r="B136" s="35"/>
      <c r="C136" s="28"/>
      <c r="D136" s="28"/>
      <c r="E136" s="28"/>
      <c r="F136" s="28"/>
      <c r="G136" s="32" t="str">
        <f aca="false">IF(E136="","",IFERROR(INDEX(Товары!$D$4:$D$200,MATCH(E136,Товары!$B$4:$B$200,0)),0))</f>
        <v/>
      </c>
      <c r="H136" s="29"/>
      <c r="I136" s="32" t="str">
        <f aca="false">IF(OR(E136="",F136=""),"",F136*G136-N(H136))</f>
        <v/>
      </c>
      <c r="J136" s="29"/>
      <c r="K136" s="32" t="str">
        <f aca="false">IF(AND(I136="",N(J136)=0),"",N(I136)+N(J136))</f>
        <v/>
      </c>
      <c r="L136" s="32" t="str">
        <f aca="false">IF(OR(E136="",F136=""),"",F136*IFERROR(INDEX(Товары!$C$4:$C$200,MATCH(E136,Товары!$B$4:$B$200,0)),0))</f>
        <v/>
      </c>
      <c r="M136" s="32" t="str">
        <f aca="false">IF(I136="","",I136-L136)</f>
        <v/>
      </c>
      <c r="N136" s="28"/>
      <c r="O136" s="28"/>
      <c r="P136" s="28"/>
      <c r="Q136" s="28"/>
      <c r="R136" s="35"/>
      <c r="S136" s="28"/>
    </row>
    <row r="137" customFormat="false" ht="15" hidden="false" customHeight="false" outlineLevel="0" collapsed="false">
      <c r="A137" s="34" t="str">
        <f aca="false">IF(E137="","",ROW()-3)</f>
        <v/>
      </c>
      <c r="B137" s="35"/>
      <c r="C137" s="28"/>
      <c r="D137" s="28"/>
      <c r="E137" s="28"/>
      <c r="F137" s="28"/>
      <c r="G137" s="32" t="str">
        <f aca="false">IF(E137="","",IFERROR(INDEX(Товары!$D$4:$D$200,MATCH(E137,Товары!$B$4:$B$200,0)),0))</f>
        <v/>
      </c>
      <c r="H137" s="29"/>
      <c r="I137" s="32" t="str">
        <f aca="false">IF(OR(E137="",F137=""),"",F137*G137-N(H137))</f>
        <v/>
      </c>
      <c r="J137" s="29"/>
      <c r="K137" s="32" t="str">
        <f aca="false">IF(AND(I137="",N(J137)=0),"",N(I137)+N(J137))</f>
        <v/>
      </c>
      <c r="L137" s="32" t="str">
        <f aca="false">IF(OR(E137="",F137=""),"",F137*IFERROR(INDEX(Товары!$C$4:$C$200,MATCH(E137,Товары!$B$4:$B$200,0)),0))</f>
        <v/>
      </c>
      <c r="M137" s="32" t="str">
        <f aca="false">IF(I137="","",I137-L137)</f>
        <v/>
      </c>
      <c r="N137" s="28"/>
      <c r="O137" s="28"/>
      <c r="P137" s="28"/>
      <c r="Q137" s="28"/>
      <c r="R137" s="35"/>
      <c r="S137" s="28"/>
    </row>
    <row r="138" customFormat="false" ht="15" hidden="false" customHeight="false" outlineLevel="0" collapsed="false">
      <c r="A138" s="34" t="str">
        <f aca="false">IF(E138="","",ROW()-3)</f>
        <v/>
      </c>
      <c r="B138" s="35"/>
      <c r="C138" s="28"/>
      <c r="D138" s="28"/>
      <c r="E138" s="28"/>
      <c r="F138" s="28"/>
      <c r="G138" s="32" t="str">
        <f aca="false">IF(E138="","",IFERROR(INDEX(Товары!$D$4:$D$200,MATCH(E138,Товары!$B$4:$B$200,0)),0))</f>
        <v/>
      </c>
      <c r="H138" s="29"/>
      <c r="I138" s="32" t="str">
        <f aca="false">IF(OR(E138="",F138=""),"",F138*G138-N(H138))</f>
        <v/>
      </c>
      <c r="J138" s="29"/>
      <c r="K138" s="32" t="str">
        <f aca="false">IF(AND(I138="",N(J138)=0),"",N(I138)+N(J138))</f>
        <v/>
      </c>
      <c r="L138" s="32" t="str">
        <f aca="false">IF(OR(E138="",F138=""),"",F138*IFERROR(INDEX(Товары!$C$4:$C$200,MATCH(E138,Товары!$B$4:$B$200,0)),0))</f>
        <v/>
      </c>
      <c r="M138" s="32" t="str">
        <f aca="false">IF(I138="","",I138-L138)</f>
        <v/>
      </c>
      <c r="N138" s="28"/>
      <c r="O138" s="28"/>
      <c r="P138" s="28"/>
      <c r="Q138" s="28"/>
      <c r="R138" s="35"/>
      <c r="S138" s="28"/>
    </row>
    <row r="139" customFormat="false" ht="15" hidden="false" customHeight="false" outlineLevel="0" collapsed="false">
      <c r="A139" s="34" t="str">
        <f aca="false">IF(E139="","",ROW()-3)</f>
        <v/>
      </c>
      <c r="B139" s="35"/>
      <c r="C139" s="28"/>
      <c r="D139" s="28"/>
      <c r="E139" s="28"/>
      <c r="F139" s="28"/>
      <c r="G139" s="32" t="str">
        <f aca="false">IF(E139="","",IFERROR(INDEX(Товары!$D$4:$D$200,MATCH(E139,Товары!$B$4:$B$200,0)),0))</f>
        <v/>
      </c>
      <c r="H139" s="29"/>
      <c r="I139" s="32" t="str">
        <f aca="false">IF(OR(E139="",F139=""),"",F139*G139-N(H139))</f>
        <v/>
      </c>
      <c r="J139" s="29"/>
      <c r="K139" s="32" t="str">
        <f aca="false">IF(AND(I139="",N(J139)=0),"",N(I139)+N(J139))</f>
        <v/>
      </c>
      <c r="L139" s="32" t="str">
        <f aca="false">IF(OR(E139="",F139=""),"",F139*IFERROR(INDEX(Товары!$C$4:$C$200,MATCH(E139,Товары!$B$4:$B$200,0)),0))</f>
        <v/>
      </c>
      <c r="M139" s="32" t="str">
        <f aca="false">IF(I139="","",I139-L139)</f>
        <v/>
      </c>
      <c r="N139" s="28"/>
      <c r="O139" s="28"/>
      <c r="P139" s="28"/>
      <c r="Q139" s="28"/>
      <c r="R139" s="35"/>
      <c r="S139" s="28"/>
    </row>
    <row r="140" customFormat="false" ht="15" hidden="false" customHeight="false" outlineLevel="0" collapsed="false">
      <c r="A140" s="34" t="str">
        <f aca="false">IF(E140="","",ROW()-3)</f>
        <v/>
      </c>
      <c r="B140" s="35"/>
      <c r="C140" s="28"/>
      <c r="D140" s="28"/>
      <c r="E140" s="28"/>
      <c r="F140" s="28"/>
      <c r="G140" s="32" t="str">
        <f aca="false">IF(E140="","",IFERROR(INDEX(Товары!$D$4:$D$200,MATCH(E140,Товары!$B$4:$B$200,0)),0))</f>
        <v/>
      </c>
      <c r="H140" s="29"/>
      <c r="I140" s="32" t="str">
        <f aca="false">IF(OR(E140="",F140=""),"",F140*G140-N(H140))</f>
        <v/>
      </c>
      <c r="J140" s="29"/>
      <c r="K140" s="32" t="str">
        <f aca="false">IF(AND(I140="",N(J140)=0),"",N(I140)+N(J140))</f>
        <v/>
      </c>
      <c r="L140" s="32" t="str">
        <f aca="false">IF(OR(E140="",F140=""),"",F140*IFERROR(INDEX(Товары!$C$4:$C$200,MATCH(E140,Товары!$B$4:$B$200,0)),0))</f>
        <v/>
      </c>
      <c r="M140" s="32" t="str">
        <f aca="false">IF(I140="","",I140-L140)</f>
        <v/>
      </c>
      <c r="N140" s="28"/>
      <c r="O140" s="28"/>
      <c r="P140" s="28"/>
      <c r="Q140" s="28"/>
      <c r="R140" s="35"/>
      <c r="S140" s="28"/>
    </row>
    <row r="141" customFormat="false" ht="15" hidden="false" customHeight="false" outlineLevel="0" collapsed="false">
      <c r="A141" s="34" t="str">
        <f aca="false">IF(E141="","",ROW()-3)</f>
        <v/>
      </c>
      <c r="B141" s="35"/>
      <c r="C141" s="28"/>
      <c r="D141" s="28"/>
      <c r="E141" s="28"/>
      <c r="F141" s="28"/>
      <c r="G141" s="32" t="str">
        <f aca="false">IF(E141="","",IFERROR(INDEX(Товары!$D$4:$D$200,MATCH(E141,Товары!$B$4:$B$200,0)),0))</f>
        <v/>
      </c>
      <c r="H141" s="29"/>
      <c r="I141" s="32" t="str">
        <f aca="false">IF(OR(E141="",F141=""),"",F141*G141-N(H141))</f>
        <v/>
      </c>
      <c r="J141" s="29"/>
      <c r="K141" s="32" t="str">
        <f aca="false">IF(AND(I141="",N(J141)=0),"",N(I141)+N(J141))</f>
        <v/>
      </c>
      <c r="L141" s="32" t="str">
        <f aca="false">IF(OR(E141="",F141=""),"",F141*IFERROR(INDEX(Товары!$C$4:$C$200,MATCH(E141,Товары!$B$4:$B$200,0)),0))</f>
        <v/>
      </c>
      <c r="M141" s="32" t="str">
        <f aca="false">IF(I141="","",I141-L141)</f>
        <v/>
      </c>
      <c r="N141" s="28"/>
      <c r="O141" s="28"/>
      <c r="P141" s="28"/>
      <c r="Q141" s="28"/>
      <c r="R141" s="35"/>
      <c r="S141" s="28"/>
    </row>
    <row r="142" customFormat="false" ht="15" hidden="false" customHeight="false" outlineLevel="0" collapsed="false">
      <c r="A142" s="34" t="str">
        <f aca="false">IF(E142="","",ROW()-3)</f>
        <v/>
      </c>
      <c r="B142" s="35"/>
      <c r="C142" s="28"/>
      <c r="D142" s="28"/>
      <c r="E142" s="28"/>
      <c r="F142" s="28"/>
      <c r="G142" s="32" t="str">
        <f aca="false">IF(E142="","",IFERROR(INDEX(Товары!$D$4:$D$200,MATCH(E142,Товары!$B$4:$B$200,0)),0))</f>
        <v/>
      </c>
      <c r="H142" s="29"/>
      <c r="I142" s="32" t="str">
        <f aca="false">IF(OR(E142="",F142=""),"",F142*G142-N(H142))</f>
        <v/>
      </c>
      <c r="J142" s="29"/>
      <c r="K142" s="32" t="str">
        <f aca="false">IF(AND(I142="",N(J142)=0),"",N(I142)+N(J142))</f>
        <v/>
      </c>
      <c r="L142" s="32" t="str">
        <f aca="false">IF(OR(E142="",F142=""),"",F142*IFERROR(INDEX(Товары!$C$4:$C$200,MATCH(E142,Товары!$B$4:$B$200,0)),0))</f>
        <v/>
      </c>
      <c r="M142" s="32" t="str">
        <f aca="false">IF(I142="","",I142-L142)</f>
        <v/>
      </c>
      <c r="N142" s="28"/>
      <c r="O142" s="28"/>
      <c r="P142" s="28"/>
      <c r="Q142" s="28"/>
      <c r="R142" s="35"/>
      <c r="S142" s="28"/>
    </row>
    <row r="143" customFormat="false" ht="15" hidden="false" customHeight="false" outlineLevel="0" collapsed="false">
      <c r="A143" s="34" t="str">
        <f aca="false">IF(E143="","",ROW()-3)</f>
        <v/>
      </c>
      <c r="B143" s="35"/>
      <c r="C143" s="28"/>
      <c r="D143" s="28"/>
      <c r="E143" s="28"/>
      <c r="F143" s="28"/>
      <c r="G143" s="32" t="str">
        <f aca="false">IF(E143="","",IFERROR(INDEX(Товары!$D$4:$D$200,MATCH(E143,Товары!$B$4:$B$200,0)),0))</f>
        <v/>
      </c>
      <c r="H143" s="29"/>
      <c r="I143" s="32" t="str">
        <f aca="false">IF(OR(E143="",F143=""),"",F143*G143-N(H143))</f>
        <v/>
      </c>
      <c r="J143" s="29"/>
      <c r="K143" s="32" t="str">
        <f aca="false">IF(AND(I143="",N(J143)=0),"",N(I143)+N(J143))</f>
        <v/>
      </c>
      <c r="L143" s="32" t="str">
        <f aca="false">IF(OR(E143="",F143=""),"",F143*IFERROR(INDEX(Товары!$C$4:$C$200,MATCH(E143,Товары!$B$4:$B$200,0)),0))</f>
        <v/>
      </c>
      <c r="M143" s="32" t="str">
        <f aca="false">IF(I143="","",I143-L143)</f>
        <v/>
      </c>
      <c r="N143" s="28"/>
      <c r="O143" s="28"/>
      <c r="P143" s="28"/>
      <c r="Q143" s="28"/>
      <c r="R143" s="35"/>
      <c r="S143" s="28"/>
    </row>
    <row r="144" customFormat="false" ht="15" hidden="false" customHeight="false" outlineLevel="0" collapsed="false">
      <c r="A144" s="34" t="str">
        <f aca="false">IF(E144="","",ROW()-3)</f>
        <v/>
      </c>
      <c r="B144" s="35"/>
      <c r="C144" s="28"/>
      <c r="D144" s="28"/>
      <c r="E144" s="28"/>
      <c r="F144" s="28"/>
      <c r="G144" s="32" t="str">
        <f aca="false">IF(E144="","",IFERROR(INDEX(Товары!$D$4:$D$200,MATCH(E144,Товары!$B$4:$B$200,0)),0))</f>
        <v/>
      </c>
      <c r="H144" s="29"/>
      <c r="I144" s="32" t="str">
        <f aca="false">IF(OR(E144="",F144=""),"",F144*G144-N(H144))</f>
        <v/>
      </c>
      <c r="J144" s="29"/>
      <c r="K144" s="32" t="str">
        <f aca="false">IF(AND(I144="",N(J144)=0),"",N(I144)+N(J144))</f>
        <v/>
      </c>
      <c r="L144" s="32" t="str">
        <f aca="false">IF(OR(E144="",F144=""),"",F144*IFERROR(INDEX(Товары!$C$4:$C$200,MATCH(E144,Товары!$B$4:$B$200,0)),0))</f>
        <v/>
      </c>
      <c r="M144" s="32" t="str">
        <f aca="false">IF(I144="","",I144-L144)</f>
        <v/>
      </c>
      <c r="N144" s="28"/>
      <c r="O144" s="28"/>
      <c r="P144" s="28"/>
      <c r="Q144" s="28"/>
      <c r="R144" s="35"/>
      <c r="S144" s="28"/>
    </row>
    <row r="145" customFormat="false" ht="15" hidden="false" customHeight="false" outlineLevel="0" collapsed="false">
      <c r="A145" s="34" t="str">
        <f aca="false">IF(E145="","",ROW()-3)</f>
        <v/>
      </c>
      <c r="B145" s="35"/>
      <c r="C145" s="28"/>
      <c r="D145" s="28"/>
      <c r="E145" s="28"/>
      <c r="F145" s="28"/>
      <c r="G145" s="32" t="str">
        <f aca="false">IF(E145="","",IFERROR(INDEX(Товары!$D$4:$D$200,MATCH(E145,Товары!$B$4:$B$200,0)),0))</f>
        <v/>
      </c>
      <c r="H145" s="29"/>
      <c r="I145" s="32" t="str">
        <f aca="false">IF(OR(E145="",F145=""),"",F145*G145-N(H145))</f>
        <v/>
      </c>
      <c r="J145" s="29"/>
      <c r="K145" s="32" t="str">
        <f aca="false">IF(AND(I145="",N(J145)=0),"",N(I145)+N(J145))</f>
        <v/>
      </c>
      <c r="L145" s="32" t="str">
        <f aca="false">IF(OR(E145="",F145=""),"",F145*IFERROR(INDEX(Товары!$C$4:$C$200,MATCH(E145,Товары!$B$4:$B$200,0)),0))</f>
        <v/>
      </c>
      <c r="M145" s="32" t="str">
        <f aca="false">IF(I145="","",I145-L145)</f>
        <v/>
      </c>
      <c r="N145" s="28"/>
      <c r="O145" s="28"/>
      <c r="P145" s="28"/>
      <c r="Q145" s="28"/>
      <c r="R145" s="35"/>
      <c r="S145" s="28"/>
    </row>
    <row r="146" customFormat="false" ht="15" hidden="false" customHeight="false" outlineLevel="0" collapsed="false">
      <c r="A146" s="34" t="str">
        <f aca="false">IF(E146="","",ROW()-3)</f>
        <v/>
      </c>
      <c r="B146" s="35"/>
      <c r="C146" s="28"/>
      <c r="D146" s="28"/>
      <c r="E146" s="28"/>
      <c r="F146" s="28"/>
      <c r="G146" s="32" t="str">
        <f aca="false">IF(E146="","",IFERROR(INDEX(Товары!$D$4:$D$200,MATCH(E146,Товары!$B$4:$B$200,0)),0))</f>
        <v/>
      </c>
      <c r="H146" s="29"/>
      <c r="I146" s="32" t="str">
        <f aca="false">IF(OR(E146="",F146=""),"",F146*G146-N(H146))</f>
        <v/>
      </c>
      <c r="J146" s="29"/>
      <c r="K146" s="32" t="str">
        <f aca="false">IF(AND(I146="",N(J146)=0),"",N(I146)+N(J146))</f>
        <v/>
      </c>
      <c r="L146" s="32" t="str">
        <f aca="false">IF(OR(E146="",F146=""),"",F146*IFERROR(INDEX(Товары!$C$4:$C$200,MATCH(E146,Товары!$B$4:$B$200,0)),0))</f>
        <v/>
      </c>
      <c r="M146" s="32" t="str">
        <f aca="false">IF(I146="","",I146-L146)</f>
        <v/>
      </c>
      <c r="N146" s="28"/>
      <c r="O146" s="28"/>
      <c r="P146" s="28"/>
      <c r="Q146" s="28"/>
      <c r="R146" s="35"/>
      <c r="S146" s="28"/>
    </row>
    <row r="147" customFormat="false" ht="15" hidden="false" customHeight="false" outlineLevel="0" collapsed="false">
      <c r="A147" s="34" t="str">
        <f aca="false">IF(E147="","",ROW()-3)</f>
        <v/>
      </c>
      <c r="B147" s="35"/>
      <c r="C147" s="28"/>
      <c r="D147" s="28"/>
      <c r="E147" s="28"/>
      <c r="F147" s="28"/>
      <c r="G147" s="32" t="str">
        <f aca="false">IF(E147="","",IFERROR(INDEX(Товары!$D$4:$D$200,MATCH(E147,Товары!$B$4:$B$200,0)),0))</f>
        <v/>
      </c>
      <c r="H147" s="29"/>
      <c r="I147" s="32" t="str">
        <f aca="false">IF(OR(E147="",F147=""),"",F147*G147-N(H147))</f>
        <v/>
      </c>
      <c r="J147" s="29"/>
      <c r="K147" s="32" t="str">
        <f aca="false">IF(AND(I147="",N(J147)=0),"",N(I147)+N(J147))</f>
        <v/>
      </c>
      <c r="L147" s="32" t="str">
        <f aca="false">IF(OR(E147="",F147=""),"",F147*IFERROR(INDEX(Товары!$C$4:$C$200,MATCH(E147,Товары!$B$4:$B$200,0)),0))</f>
        <v/>
      </c>
      <c r="M147" s="32" t="str">
        <f aca="false">IF(I147="","",I147-L147)</f>
        <v/>
      </c>
      <c r="N147" s="28"/>
      <c r="O147" s="28"/>
      <c r="P147" s="28"/>
      <c r="Q147" s="28"/>
      <c r="R147" s="35"/>
      <c r="S147" s="28"/>
    </row>
    <row r="148" customFormat="false" ht="15" hidden="false" customHeight="false" outlineLevel="0" collapsed="false">
      <c r="A148" s="34" t="str">
        <f aca="false">IF(E148="","",ROW()-3)</f>
        <v/>
      </c>
      <c r="B148" s="35"/>
      <c r="C148" s="28"/>
      <c r="D148" s="28"/>
      <c r="E148" s="28"/>
      <c r="F148" s="28"/>
      <c r="G148" s="32" t="str">
        <f aca="false">IF(E148="","",IFERROR(INDEX(Товары!$D$4:$D$200,MATCH(E148,Товары!$B$4:$B$200,0)),0))</f>
        <v/>
      </c>
      <c r="H148" s="29"/>
      <c r="I148" s="32" t="str">
        <f aca="false">IF(OR(E148="",F148=""),"",F148*G148-N(H148))</f>
        <v/>
      </c>
      <c r="J148" s="29"/>
      <c r="K148" s="32" t="str">
        <f aca="false">IF(AND(I148="",N(J148)=0),"",N(I148)+N(J148))</f>
        <v/>
      </c>
      <c r="L148" s="32" t="str">
        <f aca="false">IF(OR(E148="",F148=""),"",F148*IFERROR(INDEX(Товары!$C$4:$C$200,MATCH(E148,Товары!$B$4:$B$200,0)),0))</f>
        <v/>
      </c>
      <c r="M148" s="32" t="str">
        <f aca="false">IF(I148="","",I148-L148)</f>
        <v/>
      </c>
      <c r="N148" s="28"/>
      <c r="O148" s="28"/>
      <c r="P148" s="28"/>
      <c r="Q148" s="28"/>
      <c r="R148" s="35"/>
      <c r="S148" s="28"/>
    </row>
    <row r="149" customFormat="false" ht="15" hidden="false" customHeight="false" outlineLevel="0" collapsed="false">
      <c r="A149" s="34" t="str">
        <f aca="false">IF(E149="","",ROW()-3)</f>
        <v/>
      </c>
      <c r="B149" s="35"/>
      <c r="C149" s="28"/>
      <c r="D149" s="28"/>
      <c r="E149" s="28"/>
      <c r="F149" s="28"/>
      <c r="G149" s="32" t="str">
        <f aca="false">IF(E149="","",IFERROR(INDEX(Товары!$D$4:$D$200,MATCH(E149,Товары!$B$4:$B$200,0)),0))</f>
        <v/>
      </c>
      <c r="H149" s="29"/>
      <c r="I149" s="32" t="str">
        <f aca="false">IF(OR(E149="",F149=""),"",F149*G149-N(H149))</f>
        <v/>
      </c>
      <c r="J149" s="29"/>
      <c r="K149" s="32" t="str">
        <f aca="false">IF(AND(I149="",N(J149)=0),"",N(I149)+N(J149))</f>
        <v/>
      </c>
      <c r="L149" s="32" t="str">
        <f aca="false">IF(OR(E149="",F149=""),"",F149*IFERROR(INDEX(Товары!$C$4:$C$200,MATCH(E149,Товары!$B$4:$B$200,0)),0))</f>
        <v/>
      </c>
      <c r="M149" s="32" t="str">
        <f aca="false">IF(I149="","",I149-L149)</f>
        <v/>
      </c>
      <c r="N149" s="28"/>
      <c r="O149" s="28"/>
      <c r="P149" s="28"/>
      <c r="Q149" s="28"/>
      <c r="R149" s="35"/>
      <c r="S149" s="28"/>
    </row>
    <row r="150" customFormat="false" ht="15" hidden="false" customHeight="false" outlineLevel="0" collapsed="false">
      <c r="A150" s="34" t="str">
        <f aca="false">IF(E150="","",ROW()-3)</f>
        <v/>
      </c>
      <c r="B150" s="35"/>
      <c r="C150" s="28"/>
      <c r="D150" s="28"/>
      <c r="E150" s="28"/>
      <c r="F150" s="28"/>
      <c r="G150" s="32" t="str">
        <f aca="false">IF(E150="","",IFERROR(INDEX(Товары!$D$4:$D$200,MATCH(E150,Товары!$B$4:$B$200,0)),0))</f>
        <v/>
      </c>
      <c r="H150" s="29"/>
      <c r="I150" s="32" t="str">
        <f aca="false">IF(OR(E150="",F150=""),"",F150*G150-N(H150))</f>
        <v/>
      </c>
      <c r="J150" s="29"/>
      <c r="K150" s="32" t="str">
        <f aca="false">IF(AND(I150="",N(J150)=0),"",N(I150)+N(J150))</f>
        <v/>
      </c>
      <c r="L150" s="32" t="str">
        <f aca="false">IF(OR(E150="",F150=""),"",F150*IFERROR(INDEX(Товары!$C$4:$C$200,MATCH(E150,Товары!$B$4:$B$200,0)),0))</f>
        <v/>
      </c>
      <c r="M150" s="32" t="str">
        <f aca="false">IF(I150="","",I150-L150)</f>
        <v/>
      </c>
      <c r="N150" s="28"/>
      <c r="O150" s="28"/>
      <c r="P150" s="28"/>
      <c r="Q150" s="28"/>
      <c r="R150" s="35"/>
      <c r="S150" s="28"/>
    </row>
    <row r="151" customFormat="false" ht="15" hidden="false" customHeight="false" outlineLevel="0" collapsed="false">
      <c r="A151" s="34" t="str">
        <f aca="false">IF(E151="","",ROW()-3)</f>
        <v/>
      </c>
      <c r="B151" s="35"/>
      <c r="C151" s="28"/>
      <c r="D151" s="28"/>
      <c r="E151" s="28"/>
      <c r="F151" s="28"/>
      <c r="G151" s="32" t="str">
        <f aca="false">IF(E151="","",IFERROR(INDEX(Товары!$D$4:$D$200,MATCH(E151,Товары!$B$4:$B$200,0)),0))</f>
        <v/>
      </c>
      <c r="H151" s="29"/>
      <c r="I151" s="32" t="str">
        <f aca="false">IF(OR(E151="",F151=""),"",F151*G151-N(H151))</f>
        <v/>
      </c>
      <c r="J151" s="29"/>
      <c r="K151" s="32" t="str">
        <f aca="false">IF(AND(I151="",N(J151)=0),"",N(I151)+N(J151))</f>
        <v/>
      </c>
      <c r="L151" s="32" t="str">
        <f aca="false">IF(OR(E151="",F151=""),"",F151*IFERROR(INDEX(Товары!$C$4:$C$200,MATCH(E151,Товары!$B$4:$B$200,0)),0))</f>
        <v/>
      </c>
      <c r="M151" s="32" t="str">
        <f aca="false">IF(I151="","",I151-L151)</f>
        <v/>
      </c>
      <c r="N151" s="28"/>
      <c r="O151" s="28"/>
      <c r="P151" s="28"/>
      <c r="Q151" s="28"/>
      <c r="R151" s="35"/>
      <c r="S151" s="28"/>
    </row>
    <row r="152" customFormat="false" ht="15" hidden="false" customHeight="false" outlineLevel="0" collapsed="false">
      <c r="A152" s="34" t="str">
        <f aca="false">IF(E152="","",ROW()-3)</f>
        <v/>
      </c>
      <c r="B152" s="35"/>
      <c r="C152" s="28"/>
      <c r="D152" s="28"/>
      <c r="E152" s="28"/>
      <c r="F152" s="28"/>
      <c r="G152" s="32" t="str">
        <f aca="false">IF(E152="","",IFERROR(INDEX(Товары!$D$4:$D$200,MATCH(E152,Товары!$B$4:$B$200,0)),0))</f>
        <v/>
      </c>
      <c r="H152" s="29"/>
      <c r="I152" s="32" t="str">
        <f aca="false">IF(OR(E152="",F152=""),"",F152*G152-N(H152))</f>
        <v/>
      </c>
      <c r="J152" s="29"/>
      <c r="K152" s="32" t="str">
        <f aca="false">IF(AND(I152="",N(J152)=0),"",N(I152)+N(J152))</f>
        <v/>
      </c>
      <c r="L152" s="32" t="str">
        <f aca="false">IF(OR(E152="",F152=""),"",F152*IFERROR(INDEX(Товары!$C$4:$C$200,MATCH(E152,Товары!$B$4:$B$200,0)),0))</f>
        <v/>
      </c>
      <c r="M152" s="32" t="str">
        <f aca="false">IF(I152="","",I152-L152)</f>
        <v/>
      </c>
      <c r="N152" s="28"/>
      <c r="O152" s="28"/>
      <c r="P152" s="28"/>
      <c r="Q152" s="28"/>
      <c r="R152" s="35"/>
      <c r="S152" s="28"/>
    </row>
    <row r="153" customFormat="false" ht="15" hidden="false" customHeight="false" outlineLevel="0" collapsed="false">
      <c r="A153" s="34" t="str">
        <f aca="false">IF(E153="","",ROW()-3)</f>
        <v/>
      </c>
      <c r="B153" s="35"/>
      <c r="C153" s="28"/>
      <c r="D153" s="28"/>
      <c r="E153" s="28"/>
      <c r="F153" s="28"/>
      <c r="G153" s="32" t="str">
        <f aca="false">IF(E153="","",IFERROR(INDEX(Товары!$D$4:$D$200,MATCH(E153,Товары!$B$4:$B$200,0)),0))</f>
        <v/>
      </c>
      <c r="H153" s="29"/>
      <c r="I153" s="32" t="str">
        <f aca="false">IF(OR(E153="",F153=""),"",F153*G153-N(H153))</f>
        <v/>
      </c>
      <c r="J153" s="29"/>
      <c r="K153" s="32" t="str">
        <f aca="false">IF(AND(I153="",N(J153)=0),"",N(I153)+N(J153))</f>
        <v/>
      </c>
      <c r="L153" s="32" t="str">
        <f aca="false">IF(OR(E153="",F153=""),"",F153*IFERROR(INDEX(Товары!$C$4:$C$200,MATCH(E153,Товары!$B$4:$B$200,0)),0))</f>
        <v/>
      </c>
      <c r="M153" s="32" t="str">
        <f aca="false">IF(I153="","",I153-L153)</f>
        <v/>
      </c>
      <c r="N153" s="28"/>
      <c r="O153" s="28"/>
      <c r="P153" s="28"/>
      <c r="Q153" s="28"/>
      <c r="R153" s="35"/>
      <c r="S153" s="28"/>
    </row>
    <row r="154" customFormat="false" ht="15" hidden="false" customHeight="false" outlineLevel="0" collapsed="false">
      <c r="A154" s="34" t="str">
        <f aca="false">IF(E154="","",ROW()-3)</f>
        <v/>
      </c>
      <c r="B154" s="35"/>
      <c r="C154" s="28"/>
      <c r="D154" s="28"/>
      <c r="E154" s="28"/>
      <c r="F154" s="28"/>
      <c r="G154" s="32" t="str">
        <f aca="false">IF(E154="","",IFERROR(INDEX(Товары!$D$4:$D$200,MATCH(E154,Товары!$B$4:$B$200,0)),0))</f>
        <v/>
      </c>
      <c r="H154" s="29"/>
      <c r="I154" s="32" t="str">
        <f aca="false">IF(OR(E154="",F154=""),"",F154*G154-N(H154))</f>
        <v/>
      </c>
      <c r="J154" s="29"/>
      <c r="K154" s="32" t="str">
        <f aca="false">IF(AND(I154="",N(J154)=0),"",N(I154)+N(J154))</f>
        <v/>
      </c>
      <c r="L154" s="32" t="str">
        <f aca="false">IF(OR(E154="",F154=""),"",F154*IFERROR(INDEX(Товары!$C$4:$C$200,MATCH(E154,Товары!$B$4:$B$200,0)),0))</f>
        <v/>
      </c>
      <c r="M154" s="32" t="str">
        <f aca="false">IF(I154="","",I154-L154)</f>
        <v/>
      </c>
      <c r="N154" s="28"/>
      <c r="O154" s="28"/>
      <c r="P154" s="28"/>
      <c r="Q154" s="28"/>
      <c r="R154" s="35"/>
      <c r="S154" s="28"/>
    </row>
    <row r="155" customFormat="false" ht="15" hidden="false" customHeight="false" outlineLevel="0" collapsed="false">
      <c r="A155" s="34" t="str">
        <f aca="false">IF(E155="","",ROW()-3)</f>
        <v/>
      </c>
      <c r="B155" s="35"/>
      <c r="C155" s="28"/>
      <c r="D155" s="28"/>
      <c r="E155" s="28"/>
      <c r="F155" s="28"/>
      <c r="G155" s="32" t="str">
        <f aca="false">IF(E155="","",IFERROR(INDEX(Товары!$D$4:$D$200,MATCH(E155,Товары!$B$4:$B$200,0)),0))</f>
        <v/>
      </c>
      <c r="H155" s="29"/>
      <c r="I155" s="32" t="str">
        <f aca="false">IF(OR(E155="",F155=""),"",F155*G155-N(H155))</f>
        <v/>
      </c>
      <c r="J155" s="29"/>
      <c r="K155" s="32" t="str">
        <f aca="false">IF(AND(I155="",N(J155)=0),"",N(I155)+N(J155))</f>
        <v/>
      </c>
      <c r="L155" s="32" t="str">
        <f aca="false">IF(OR(E155="",F155=""),"",F155*IFERROR(INDEX(Товары!$C$4:$C$200,MATCH(E155,Товары!$B$4:$B$200,0)),0))</f>
        <v/>
      </c>
      <c r="M155" s="32" t="str">
        <f aca="false">IF(I155="","",I155-L155)</f>
        <v/>
      </c>
      <c r="N155" s="28"/>
      <c r="O155" s="28"/>
      <c r="P155" s="28"/>
      <c r="Q155" s="28"/>
      <c r="R155" s="35"/>
      <c r="S155" s="28"/>
    </row>
    <row r="156" customFormat="false" ht="15" hidden="false" customHeight="false" outlineLevel="0" collapsed="false">
      <c r="A156" s="34" t="str">
        <f aca="false">IF(E156="","",ROW()-3)</f>
        <v/>
      </c>
      <c r="B156" s="35"/>
      <c r="C156" s="28"/>
      <c r="D156" s="28"/>
      <c r="E156" s="28"/>
      <c r="F156" s="28"/>
      <c r="G156" s="32" t="str">
        <f aca="false">IF(E156="","",IFERROR(INDEX(Товары!$D$4:$D$200,MATCH(E156,Товары!$B$4:$B$200,0)),0))</f>
        <v/>
      </c>
      <c r="H156" s="29"/>
      <c r="I156" s="32" t="str">
        <f aca="false">IF(OR(E156="",F156=""),"",F156*G156-N(H156))</f>
        <v/>
      </c>
      <c r="J156" s="29"/>
      <c r="K156" s="32" t="str">
        <f aca="false">IF(AND(I156="",N(J156)=0),"",N(I156)+N(J156))</f>
        <v/>
      </c>
      <c r="L156" s="32" t="str">
        <f aca="false">IF(OR(E156="",F156=""),"",F156*IFERROR(INDEX(Товары!$C$4:$C$200,MATCH(E156,Товары!$B$4:$B$200,0)),0))</f>
        <v/>
      </c>
      <c r="M156" s="32" t="str">
        <f aca="false">IF(I156="","",I156-L156)</f>
        <v/>
      </c>
      <c r="N156" s="28"/>
      <c r="O156" s="28"/>
      <c r="P156" s="28"/>
      <c r="Q156" s="28"/>
      <c r="R156" s="35"/>
      <c r="S156" s="28"/>
    </row>
    <row r="157" customFormat="false" ht="15" hidden="false" customHeight="false" outlineLevel="0" collapsed="false">
      <c r="A157" s="34" t="str">
        <f aca="false">IF(E157="","",ROW()-3)</f>
        <v/>
      </c>
      <c r="B157" s="35"/>
      <c r="C157" s="28"/>
      <c r="D157" s="28"/>
      <c r="E157" s="28"/>
      <c r="F157" s="28"/>
      <c r="G157" s="32" t="str">
        <f aca="false">IF(E157="","",IFERROR(INDEX(Товары!$D$4:$D$200,MATCH(E157,Товары!$B$4:$B$200,0)),0))</f>
        <v/>
      </c>
      <c r="H157" s="29"/>
      <c r="I157" s="32" t="str">
        <f aca="false">IF(OR(E157="",F157=""),"",F157*G157-N(H157))</f>
        <v/>
      </c>
      <c r="J157" s="29"/>
      <c r="K157" s="32" t="str">
        <f aca="false">IF(AND(I157="",N(J157)=0),"",N(I157)+N(J157))</f>
        <v/>
      </c>
      <c r="L157" s="32" t="str">
        <f aca="false">IF(OR(E157="",F157=""),"",F157*IFERROR(INDEX(Товары!$C$4:$C$200,MATCH(E157,Товары!$B$4:$B$200,0)),0))</f>
        <v/>
      </c>
      <c r="M157" s="32" t="str">
        <f aca="false">IF(I157="","",I157-L157)</f>
        <v/>
      </c>
      <c r="N157" s="28"/>
      <c r="O157" s="28"/>
      <c r="P157" s="28"/>
      <c r="Q157" s="28"/>
      <c r="R157" s="35"/>
      <c r="S157" s="28"/>
    </row>
    <row r="158" customFormat="false" ht="15" hidden="false" customHeight="false" outlineLevel="0" collapsed="false">
      <c r="A158" s="34" t="str">
        <f aca="false">IF(E158="","",ROW()-3)</f>
        <v/>
      </c>
      <c r="B158" s="35"/>
      <c r="C158" s="28"/>
      <c r="D158" s="28"/>
      <c r="E158" s="28"/>
      <c r="F158" s="28"/>
      <c r="G158" s="32" t="str">
        <f aca="false">IF(E158="","",IFERROR(INDEX(Товары!$D$4:$D$200,MATCH(E158,Товары!$B$4:$B$200,0)),0))</f>
        <v/>
      </c>
      <c r="H158" s="29"/>
      <c r="I158" s="32" t="str">
        <f aca="false">IF(OR(E158="",F158=""),"",F158*G158-N(H158))</f>
        <v/>
      </c>
      <c r="J158" s="29"/>
      <c r="K158" s="32" t="str">
        <f aca="false">IF(AND(I158="",N(J158)=0),"",N(I158)+N(J158))</f>
        <v/>
      </c>
      <c r="L158" s="32" t="str">
        <f aca="false">IF(OR(E158="",F158=""),"",F158*IFERROR(INDEX(Товары!$C$4:$C$200,MATCH(E158,Товары!$B$4:$B$200,0)),0))</f>
        <v/>
      </c>
      <c r="M158" s="32" t="str">
        <f aca="false">IF(I158="","",I158-L158)</f>
        <v/>
      </c>
      <c r="N158" s="28"/>
      <c r="O158" s="28"/>
      <c r="P158" s="28"/>
      <c r="Q158" s="28"/>
      <c r="R158" s="35"/>
      <c r="S158" s="28"/>
    </row>
    <row r="159" customFormat="false" ht="15" hidden="false" customHeight="false" outlineLevel="0" collapsed="false">
      <c r="A159" s="34" t="str">
        <f aca="false">IF(E159="","",ROW()-3)</f>
        <v/>
      </c>
      <c r="B159" s="35"/>
      <c r="C159" s="28"/>
      <c r="D159" s="28"/>
      <c r="E159" s="28"/>
      <c r="F159" s="28"/>
      <c r="G159" s="32" t="str">
        <f aca="false">IF(E159="","",IFERROR(INDEX(Товары!$D$4:$D$200,MATCH(E159,Товары!$B$4:$B$200,0)),0))</f>
        <v/>
      </c>
      <c r="H159" s="29"/>
      <c r="I159" s="32" t="str">
        <f aca="false">IF(OR(E159="",F159=""),"",F159*G159-N(H159))</f>
        <v/>
      </c>
      <c r="J159" s="29"/>
      <c r="K159" s="32" t="str">
        <f aca="false">IF(AND(I159="",N(J159)=0),"",N(I159)+N(J159))</f>
        <v/>
      </c>
      <c r="L159" s="32" t="str">
        <f aca="false">IF(OR(E159="",F159=""),"",F159*IFERROR(INDEX(Товары!$C$4:$C$200,MATCH(E159,Товары!$B$4:$B$200,0)),0))</f>
        <v/>
      </c>
      <c r="M159" s="32" t="str">
        <f aca="false">IF(I159="","",I159-L159)</f>
        <v/>
      </c>
      <c r="N159" s="28"/>
      <c r="O159" s="28"/>
      <c r="P159" s="28"/>
      <c r="Q159" s="28"/>
      <c r="R159" s="35"/>
      <c r="S159" s="28"/>
    </row>
    <row r="160" customFormat="false" ht="15" hidden="false" customHeight="false" outlineLevel="0" collapsed="false">
      <c r="A160" s="34" t="str">
        <f aca="false">IF(E160="","",ROW()-3)</f>
        <v/>
      </c>
      <c r="B160" s="35"/>
      <c r="C160" s="28"/>
      <c r="D160" s="28"/>
      <c r="E160" s="28"/>
      <c r="F160" s="28"/>
      <c r="G160" s="32" t="str">
        <f aca="false">IF(E160="","",IFERROR(INDEX(Товары!$D$4:$D$200,MATCH(E160,Товары!$B$4:$B$200,0)),0))</f>
        <v/>
      </c>
      <c r="H160" s="29"/>
      <c r="I160" s="32" t="str">
        <f aca="false">IF(OR(E160="",F160=""),"",F160*G160-N(H160))</f>
        <v/>
      </c>
      <c r="J160" s="29"/>
      <c r="K160" s="32" t="str">
        <f aca="false">IF(AND(I160="",N(J160)=0),"",N(I160)+N(J160))</f>
        <v/>
      </c>
      <c r="L160" s="32" t="str">
        <f aca="false">IF(OR(E160="",F160=""),"",F160*IFERROR(INDEX(Товары!$C$4:$C$200,MATCH(E160,Товары!$B$4:$B$200,0)),0))</f>
        <v/>
      </c>
      <c r="M160" s="32" t="str">
        <f aca="false">IF(I160="","",I160-L160)</f>
        <v/>
      </c>
      <c r="N160" s="28"/>
      <c r="O160" s="28"/>
      <c r="P160" s="28"/>
      <c r="Q160" s="28"/>
      <c r="R160" s="35"/>
      <c r="S160" s="28"/>
    </row>
    <row r="161" customFormat="false" ht="15" hidden="false" customHeight="false" outlineLevel="0" collapsed="false">
      <c r="A161" s="34" t="str">
        <f aca="false">IF(E161="","",ROW()-3)</f>
        <v/>
      </c>
      <c r="B161" s="35"/>
      <c r="C161" s="28"/>
      <c r="D161" s="28"/>
      <c r="E161" s="28"/>
      <c r="F161" s="28"/>
      <c r="G161" s="32" t="str">
        <f aca="false">IF(E161="","",IFERROR(INDEX(Товары!$D$4:$D$200,MATCH(E161,Товары!$B$4:$B$200,0)),0))</f>
        <v/>
      </c>
      <c r="H161" s="29"/>
      <c r="I161" s="32" t="str">
        <f aca="false">IF(OR(E161="",F161=""),"",F161*G161-N(H161))</f>
        <v/>
      </c>
      <c r="J161" s="29"/>
      <c r="K161" s="32" t="str">
        <f aca="false">IF(AND(I161="",N(J161)=0),"",N(I161)+N(J161))</f>
        <v/>
      </c>
      <c r="L161" s="32" t="str">
        <f aca="false">IF(OR(E161="",F161=""),"",F161*IFERROR(INDEX(Товары!$C$4:$C$200,MATCH(E161,Товары!$B$4:$B$200,0)),0))</f>
        <v/>
      </c>
      <c r="M161" s="32" t="str">
        <f aca="false">IF(I161="","",I161-L161)</f>
        <v/>
      </c>
      <c r="N161" s="28"/>
      <c r="O161" s="28"/>
      <c r="P161" s="28"/>
      <c r="Q161" s="28"/>
      <c r="R161" s="35"/>
      <c r="S161" s="28"/>
    </row>
    <row r="162" customFormat="false" ht="15" hidden="false" customHeight="false" outlineLevel="0" collapsed="false">
      <c r="A162" s="34" t="str">
        <f aca="false">IF(E162="","",ROW()-3)</f>
        <v/>
      </c>
      <c r="B162" s="35"/>
      <c r="C162" s="28"/>
      <c r="D162" s="28"/>
      <c r="E162" s="28"/>
      <c r="F162" s="28"/>
      <c r="G162" s="32" t="str">
        <f aca="false">IF(E162="","",IFERROR(INDEX(Товары!$D$4:$D$200,MATCH(E162,Товары!$B$4:$B$200,0)),0))</f>
        <v/>
      </c>
      <c r="H162" s="29"/>
      <c r="I162" s="32" t="str">
        <f aca="false">IF(OR(E162="",F162=""),"",F162*G162-N(H162))</f>
        <v/>
      </c>
      <c r="J162" s="29"/>
      <c r="K162" s="32" t="str">
        <f aca="false">IF(AND(I162="",N(J162)=0),"",N(I162)+N(J162))</f>
        <v/>
      </c>
      <c r="L162" s="32" t="str">
        <f aca="false">IF(OR(E162="",F162=""),"",F162*IFERROR(INDEX(Товары!$C$4:$C$200,MATCH(E162,Товары!$B$4:$B$200,0)),0))</f>
        <v/>
      </c>
      <c r="M162" s="32" t="str">
        <f aca="false">IF(I162="","",I162-L162)</f>
        <v/>
      </c>
      <c r="N162" s="28"/>
      <c r="O162" s="28"/>
      <c r="P162" s="28"/>
      <c r="Q162" s="28"/>
      <c r="R162" s="35"/>
      <c r="S162" s="28"/>
    </row>
    <row r="163" customFormat="false" ht="15" hidden="false" customHeight="false" outlineLevel="0" collapsed="false">
      <c r="A163" s="34" t="str">
        <f aca="false">IF(E163="","",ROW()-3)</f>
        <v/>
      </c>
      <c r="B163" s="35"/>
      <c r="C163" s="28"/>
      <c r="D163" s="28"/>
      <c r="E163" s="28"/>
      <c r="F163" s="28"/>
      <c r="G163" s="32" t="str">
        <f aca="false">IF(E163="","",IFERROR(INDEX(Товары!$D$4:$D$200,MATCH(E163,Товары!$B$4:$B$200,0)),0))</f>
        <v/>
      </c>
      <c r="H163" s="29"/>
      <c r="I163" s="32" t="str">
        <f aca="false">IF(OR(E163="",F163=""),"",F163*G163-N(H163))</f>
        <v/>
      </c>
      <c r="J163" s="29"/>
      <c r="K163" s="32" t="str">
        <f aca="false">IF(AND(I163="",N(J163)=0),"",N(I163)+N(J163))</f>
        <v/>
      </c>
      <c r="L163" s="32" t="str">
        <f aca="false">IF(OR(E163="",F163=""),"",F163*IFERROR(INDEX(Товары!$C$4:$C$200,MATCH(E163,Товары!$B$4:$B$200,0)),0))</f>
        <v/>
      </c>
      <c r="M163" s="32" t="str">
        <f aca="false">IF(I163="","",I163-L163)</f>
        <v/>
      </c>
      <c r="N163" s="28"/>
      <c r="O163" s="28"/>
      <c r="P163" s="28"/>
      <c r="Q163" s="28"/>
      <c r="R163" s="35"/>
      <c r="S163" s="28"/>
    </row>
    <row r="164" customFormat="false" ht="15" hidden="false" customHeight="false" outlineLevel="0" collapsed="false">
      <c r="A164" s="34" t="str">
        <f aca="false">IF(E164="","",ROW()-3)</f>
        <v/>
      </c>
      <c r="B164" s="35"/>
      <c r="C164" s="28"/>
      <c r="D164" s="28"/>
      <c r="E164" s="28"/>
      <c r="F164" s="28"/>
      <c r="G164" s="32" t="str">
        <f aca="false">IF(E164="","",IFERROR(INDEX(Товары!$D$4:$D$200,MATCH(E164,Товары!$B$4:$B$200,0)),0))</f>
        <v/>
      </c>
      <c r="H164" s="29"/>
      <c r="I164" s="32" t="str">
        <f aca="false">IF(OR(E164="",F164=""),"",F164*G164-N(H164))</f>
        <v/>
      </c>
      <c r="J164" s="29"/>
      <c r="K164" s="32" t="str">
        <f aca="false">IF(AND(I164="",N(J164)=0),"",N(I164)+N(J164))</f>
        <v/>
      </c>
      <c r="L164" s="32" t="str">
        <f aca="false">IF(OR(E164="",F164=""),"",F164*IFERROR(INDEX(Товары!$C$4:$C$200,MATCH(E164,Товары!$B$4:$B$200,0)),0))</f>
        <v/>
      </c>
      <c r="M164" s="32" t="str">
        <f aca="false">IF(I164="","",I164-L164)</f>
        <v/>
      </c>
      <c r="N164" s="28"/>
      <c r="O164" s="28"/>
      <c r="P164" s="28"/>
      <c r="Q164" s="28"/>
      <c r="R164" s="35"/>
      <c r="S164" s="28"/>
    </row>
    <row r="165" customFormat="false" ht="15" hidden="false" customHeight="false" outlineLevel="0" collapsed="false">
      <c r="A165" s="34" t="str">
        <f aca="false">IF(E165="","",ROW()-3)</f>
        <v/>
      </c>
      <c r="B165" s="35"/>
      <c r="C165" s="28"/>
      <c r="D165" s="28"/>
      <c r="E165" s="28"/>
      <c r="F165" s="28"/>
      <c r="G165" s="32" t="str">
        <f aca="false">IF(E165="","",IFERROR(INDEX(Товары!$D$4:$D$200,MATCH(E165,Товары!$B$4:$B$200,0)),0))</f>
        <v/>
      </c>
      <c r="H165" s="29"/>
      <c r="I165" s="32" t="str">
        <f aca="false">IF(OR(E165="",F165=""),"",F165*G165-N(H165))</f>
        <v/>
      </c>
      <c r="J165" s="29"/>
      <c r="K165" s="32" t="str">
        <f aca="false">IF(AND(I165="",N(J165)=0),"",N(I165)+N(J165))</f>
        <v/>
      </c>
      <c r="L165" s="32" t="str">
        <f aca="false">IF(OR(E165="",F165=""),"",F165*IFERROR(INDEX(Товары!$C$4:$C$200,MATCH(E165,Товары!$B$4:$B$200,0)),0))</f>
        <v/>
      </c>
      <c r="M165" s="32" t="str">
        <f aca="false">IF(I165="","",I165-L165)</f>
        <v/>
      </c>
      <c r="N165" s="28"/>
      <c r="O165" s="28"/>
      <c r="P165" s="28"/>
      <c r="Q165" s="28"/>
      <c r="R165" s="35"/>
      <c r="S165" s="28"/>
    </row>
    <row r="166" customFormat="false" ht="15" hidden="false" customHeight="false" outlineLevel="0" collapsed="false">
      <c r="A166" s="34" t="str">
        <f aca="false">IF(E166="","",ROW()-3)</f>
        <v/>
      </c>
      <c r="B166" s="35"/>
      <c r="C166" s="28"/>
      <c r="D166" s="28"/>
      <c r="E166" s="28"/>
      <c r="F166" s="28"/>
      <c r="G166" s="32" t="str">
        <f aca="false">IF(E166="","",IFERROR(INDEX(Товары!$D$4:$D$200,MATCH(E166,Товары!$B$4:$B$200,0)),0))</f>
        <v/>
      </c>
      <c r="H166" s="29"/>
      <c r="I166" s="32" t="str">
        <f aca="false">IF(OR(E166="",F166=""),"",F166*G166-N(H166))</f>
        <v/>
      </c>
      <c r="J166" s="29"/>
      <c r="K166" s="32" t="str">
        <f aca="false">IF(AND(I166="",N(J166)=0),"",N(I166)+N(J166))</f>
        <v/>
      </c>
      <c r="L166" s="32" t="str">
        <f aca="false">IF(OR(E166="",F166=""),"",F166*IFERROR(INDEX(Товары!$C$4:$C$200,MATCH(E166,Товары!$B$4:$B$200,0)),0))</f>
        <v/>
      </c>
      <c r="M166" s="32" t="str">
        <f aca="false">IF(I166="","",I166-L166)</f>
        <v/>
      </c>
      <c r="N166" s="28"/>
      <c r="O166" s="28"/>
      <c r="P166" s="28"/>
      <c r="Q166" s="28"/>
      <c r="R166" s="35"/>
      <c r="S166" s="28"/>
    </row>
    <row r="167" customFormat="false" ht="15" hidden="false" customHeight="false" outlineLevel="0" collapsed="false">
      <c r="A167" s="34" t="str">
        <f aca="false">IF(E167="","",ROW()-3)</f>
        <v/>
      </c>
      <c r="B167" s="35"/>
      <c r="C167" s="28"/>
      <c r="D167" s="28"/>
      <c r="E167" s="28"/>
      <c r="F167" s="28"/>
      <c r="G167" s="32" t="str">
        <f aca="false">IF(E167="","",IFERROR(INDEX(Товары!$D$4:$D$200,MATCH(E167,Товары!$B$4:$B$200,0)),0))</f>
        <v/>
      </c>
      <c r="H167" s="29"/>
      <c r="I167" s="32" t="str">
        <f aca="false">IF(OR(E167="",F167=""),"",F167*G167-N(H167))</f>
        <v/>
      </c>
      <c r="J167" s="29"/>
      <c r="K167" s="32" t="str">
        <f aca="false">IF(AND(I167="",N(J167)=0),"",N(I167)+N(J167))</f>
        <v/>
      </c>
      <c r="L167" s="32" t="str">
        <f aca="false">IF(OR(E167="",F167=""),"",F167*IFERROR(INDEX(Товары!$C$4:$C$200,MATCH(E167,Товары!$B$4:$B$200,0)),0))</f>
        <v/>
      </c>
      <c r="M167" s="32" t="str">
        <f aca="false">IF(I167="","",I167-L167)</f>
        <v/>
      </c>
      <c r="N167" s="28"/>
      <c r="O167" s="28"/>
      <c r="P167" s="28"/>
      <c r="Q167" s="28"/>
      <c r="R167" s="35"/>
      <c r="S167" s="28"/>
    </row>
    <row r="168" customFormat="false" ht="15" hidden="false" customHeight="false" outlineLevel="0" collapsed="false">
      <c r="A168" s="34" t="str">
        <f aca="false">IF(E168="","",ROW()-3)</f>
        <v/>
      </c>
      <c r="B168" s="35"/>
      <c r="C168" s="28"/>
      <c r="D168" s="28"/>
      <c r="E168" s="28"/>
      <c r="F168" s="28"/>
      <c r="G168" s="32" t="str">
        <f aca="false">IF(E168="","",IFERROR(INDEX(Товары!$D$4:$D$200,MATCH(E168,Товары!$B$4:$B$200,0)),0))</f>
        <v/>
      </c>
      <c r="H168" s="29"/>
      <c r="I168" s="32" t="str">
        <f aca="false">IF(OR(E168="",F168=""),"",F168*G168-N(H168))</f>
        <v/>
      </c>
      <c r="J168" s="29"/>
      <c r="K168" s="32" t="str">
        <f aca="false">IF(AND(I168="",N(J168)=0),"",N(I168)+N(J168))</f>
        <v/>
      </c>
      <c r="L168" s="32" t="str">
        <f aca="false">IF(OR(E168="",F168=""),"",F168*IFERROR(INDEX(Товары!$C$4:$C$200,MATCH(E168,Товары!$B$4:$B$200,0)),0))</f>
        <v/>
      </c>
      <c r="M168" s="32" t="str">
        <f aca="false">IF(I168="","",I168-L168)</f>
        <v/>
      </c>
      <c r="N168" s="28"/>
      <c r="O168" s="28"/>
      <c r="P168" s="28"/>
      <c r="Q168" s="28"/>
      <c r="R168" s="35"/>
      <c r="S168" s="28"/>
    </row>
    <row r="169" customFormat="false" ht="15" hidden="false" customHeight="false" outlineLevel="0" collapsed="false">
      <c r="A169" s="34" t="str">
        <f aca="false">IF(E169="","",ROW()-3)</f>
        <v/>
      </c>
      <c r="B169" s="35"/>
      <c r="C169" s="28"/>
      <c r="D169" s="28"/>
      <c r="E169" s="28"/>
      <c r="F169" s="28"/>
      <c r="G169" s="32" t="str">
        <f aca="false">IF(E169="","",IFERROR(INDEX(Товары!$D$4:$D$200,MATCH(E169,Товары!$B$4:$B$200,0)),0))</f>
        <v/>
      </c>
      <c r="H169" s="29"/>
      <c r="I169" s="32" t="str">
        <f aca="false">IF(OR(E169="",F169=""),"",F169*G169-N(H169))</f>
        <v/>
      </c>
      <c r="J169" s="29"/>
      <c r="K169" s="32" t="str">
        <f aca="false">IF(AND(I169="",N(J169)=0),"",N(I169)+N(J169))</f>
        <v/>
      </c>
      <c r="L169" s="32" t="str">
        <f aca="false">IF(OR(E169="",F169=""),"",F169*IFERROR(INDEX(Товары!$C$4:$C$200,MATCH(E169,Товары!$B$4:$B$200,0)),0))</f>
        <v/>
      </c>
      <c r="M169" s="32" t="str">
        <f aca="false">IF(I169="","",I169-L169)</f>
        <v/>
      </c>
      <c r="N169" s="28"/>
      <c r="O169" s="28"/>
      <c r="P169" s="28"/>
      <c r="Q169" s="28"/>
      <c r="R169" s="35"/>
      <c r="S169" s="28"/>
    </row>
    <row r="170" customFormat="false" ht="15" hidden="false" customHeight="false" outlineLevel="0" collapsed="false">
      <c r="A170" s="34" t="str">
        <f aca="false">IF(E170="","",ROW()-3)</f>
        <v/>
      </c>
      <c r="B170" s="35"/>
      <c r="C170" s="28"/>
      <c r="D170" s="28"/>
      <c r="E170" s="28"/>
      <c r="F170" s="28"/>
      <c r="G170" s="32" t="str">
        <f aca="false">IF(E170="","",IFERROR(INDEX(Товары!$D$4:$D$200,MATCH(E170,Товары!$B$4:$B$200,0)),0))</f>
        <v/>
      </c>
      <c r="H170" s="29"/>
      <c r="I170" s="32" t="str">
        <f aca="false">IF(OR(E170="",F170=""),"",F170*G170-N(H170))</f>
        <v/>
      </c>
      <c r="J170" s="29"/>
      <c r="K170" s="32" t="str">
        <f aca="false">IF(AND(I170="",N(J170)=0),"",N(I170)+N(J170))</f>
        <v/>
      </c>
      <c r="L170" s="32" t="str">
        <f aca="false">IF(OR(E170="",F170=""),"",F170*IFERROR(INDEX(Товары!$C$4:$C$200,MATCH(E170,Товары!$B$4:$B$200,0)),0))</f>
        <v/>
      </c>
      <c r="M170" s="32" t="str">
        <f aca="false">IF(I170="","",I170-L170)</f>
        <v/>
      </c>
      <c r="N170" s="28"/>
      <c r="O170" s="28"/>
      <c r="P170" s="28"/>
      <c r="Q170" s="28"/>
      <c r="R170" s="35"/>
      <c r="S170" s="28"/>
    </row>
    <row r="171" customFormat="false" ht="15" hidden="false" customHeight="false" outlineLevel="0" collapsed="false">
      <c r="A171" s="34" t="str">
        <f aca="false">IF(E171="","",ROW()-3)</f>
        <v/>
      </c>
      <c r="B171" s="35"/>
      <c r="C171" s="28"/>
      <c r="D171" s="28"/>
      <c r="E171" s="28"/>
      <c r="F171" s="28"/>
      <c r="G171" s="32" t="str">
        <f aca="false">IF(E171="","",IFERROR(INDEX(Товары!$D$4:$D$200,MATCH(E171,Товары!$B$4:$B$200,0)),0))</f>
        <v/>
      </c>
      <c r="H171" s="29"/>
      <c r="I171" s="32" t="str">
        <f aca="false">IF(OR(E171="",F171=""),"",F171*G171-N(H171))</f>
        <v/>
      </c>
      <c r="J171" s="29"/>
      <c r="K171" s="32" t="str">
        <f aca="false">IF(AND(I171="",N(J171)=0),"",N(I171)+N(J171))</f>
        <v/>
      </c>
      <c r="L171" s="32" t="str">
        <f aca="false">IF(OR(E171="",F171=""),"",F171*IFERROR(INDEX(Товары!$C$4:$C$200,MATCH(E171,Товары!$B$4:$B$200,0)),0))</f>
        <v/>
      </c>
      <c r="M171" s="32" t="str">
        <f aca="false">IF(I171="","",I171-L171)</f>
        <v/>
      </c>
      <c r="N171" s="28"/>
      <c r="O171" s="28"/>
      <c r="P171" s="28"/>
      <c r="Q171" s="28"/>
      <c r="R171" s="35"/>
      <c r="S171" s="28"/>
    </row>
    <row r="172" customFormat="false" ht="15" hidden="false" customHeight="false" outlineLevel="0" collapsed="false">
      <c r="A172" s="34" t="str">
        <f aca="false">IF(E172="","",ROW()-3)</f>
        <v/>
      </c>
      <c r="B172" s="35"/>
      <c r="C172" s="28"/>
      <c r="D172" s="28"/>
      <c r="E172" s="28"/>
      <c r="F172" s="28"/>
      <c r="G172" s="32" t="str">
        <f aca="false">IF(E172="","",IFERROR(INDEX(Товары!$D$4:$D$200,MATCH(E172,Товары!$B$4:$B$200,0)),0))</f>
        <v/>
      </c>
      <c r="H172" s="29"/>
      <c r="I172" s="32" t="str">
        <f aca="false">IF(OR(E172="",F172=""),"",F172*G172-N(H172))</f>
        <v/>
      </c>
      <c r="J172" s="29"/>
      <c r="K172" s="32" t="str">
        <f aca="false">IF(AND(I172="",N(J172)=0),"",N(I172)+N(J172))</f>
        <v/>
      </c>
      <c r="L172" s="32" t="str">
        <f aca="false">IF(OR(E172="",F172=""),"",F172*IFERROR(INDEX(Товары!$C$4:$C$200,MATCH(E172,Товары!$B$4:$B$200,0)),0))</f>
        <v/>
      </c>
      <c r="M172" s="32" t="str">
        <f aca="false">IF(I172="","",I172-L172)</f>
        <v/>
      </c>
      <c r="N172" s="28"/>
      <c r="O172" s="28"/>
      <c r="P172" s="28"/>
      <c r="Q172" s="28"/>
      <c r="R172" s="35"/>
      <c r="S172" s="28"/>
    </row>
    <row r="173" customFormat="false" ht="15" hidden="false" customHeight="false" outlineLevel="0" collapsed="false">
      <c r="A173" s="34" t="str">
        <f aca="false">IF(E173="","",ROW()-3)</f>
        <v/>
      </c>
      <c r="B173" s="35"/>
      <c r="C173" s="28"/>
      <c r="D173" s="28"/>
      <c r="E173" s="28"/>
      <c r="F173" s="28"/>
      <c r="G173" s="32" t="str">
        <f aca="false">IF(E173="","",IFERROR(INDEX(Товары!$D$4:$D$200,MATCH(E173,Товары!$B$4:$B$200,0)),0))</f>
        <v/>
      </c>
      <c r="H173" s="29"/>
      <c r="I173" s="32" t="str">
        <f aca="false">IF(OR(E173="",F173=""),"",F173*G173-N(H173))</f>
        <v/>
      </c>
      <c r="J173" s="29"/>
      <c r="K173" s="32" t="str">
        <f aca="false">IF(AND(I173="",N(J173)=0),"",N(I173)+N(J173))</f>
        <v/>
      </c>
      <c r="L173" s="32" t="str">
        <f aca="false">IF(OR(E173="",F173=""),"",F173*IFERROR(INDEX(Товары!$C$4:$C$200,MATCH(E173,Товары!$B$4:$B$200,0)),0))</f>
        <v/>
      </c>
      <c r="M173" s="32" t="str">
        <f aca="false">IF(I173="","",I173-L173)</f>
        <v/>
      </c>
      <c r="N173" s="28"/>
      <c r="O173" s="28"/>
      <c r="P173" s="28"/>
      <c r="Q173" s="28"/>
      <c r="R173" s="35"/>
      <c r="S173" s="28"/>
    </row>
    <row r="174" customFormat="false" ht="15" hidden="false" customHeight="false" outlineLevel="0" collapsed="false">
      <c r="A174" s="34" t="str">
        <f aca="false">IF(E174="","",ROW()-3)</f>
        <v/>
      </c>
      <c r="B174" s="35"/>
      <c r="C174" s="28"/>
      <c r="D174" s="28"/>
      <c r="E174" s="28"/>
      <c r="F174" s="28"/>
      <c r="G174" s="32" t="str">
        <f aca="false">IF(E174="","",IFERROR(INDEX(Товары!$D$4:$D$200,MATCH(E174,Товары!$B$4:$B$200,0)),0))</f>
        <v/>
      </c>
      <c r="H174" s="29"/>
      <c r="I174" s="32" t="str">
        <f aca="false">IF(OR(E174="",F174=""),"",F174*G174-N(H174))</f>
        <v/>
      </c>
      <c r="J174" s="29"/>
      <c r="K174" s="32" t="str">
        <f aca="false">IF(AND(I174="",N(J174)=0),"",N(I174)+N(J174))</f>
        <v/>
      </c>
      <c r="L174" s="32" t="str">
        <f aca="false">IF(OR(E174="",F174=""),"",F174*IFERROR(INDEX(Товары!$C$4:$C$200,MATCH(E174,Товары!$B$4:$B$200,0)),0))</f>
        <v/>
      </c>
      <c r="M174" s="32" t="str">
        <f aca="false">IF(I174="","",I174-L174)</f>
        <v/>
      </c>
      <c r="N174" s="28"/>
      <c r="O174" s="28"/>
      <c r="P174" s="28"/>
      <c r="Q174" s="28"/>
      <c r="R174" s="35"/>
      <c r="S174" s="28"/>
    </row>
    <row r="175" customFormat="false" ht="15" hidden="false" customHeight="false" outlineLevel="0" collapsed="false">
      <c r="A175" s="34" t="str">
        <f aca="false">IF(E175="","",ROW()-3)</f>
        <v/>
      </c>
      <c r="B175" s="35"/>
      <c r="C175" s="28"/>
      <c r="D175" s="28"/>
      <c r="E175" s="28"/>
      <c r="F175" s="28"/>
      <c r="G175" s="32" t="str">
        <f aca="false">IF(E175="","",IFERROR(INDEX(Товары!$D$4:$D$200,MATCH(E175,Товары!$B$4:$B$200,0)),0))</f>
        <v/>
      </c>
      <c r="H175" s="29"/>
      <c r="I175" s="32" t="str">
        <f aca="false">IF(OR(E175="",F175=""),"",F175*G175-N(H175))</f>
        <v/>
      </c>
      <c r="J175" s="29"/>
      <c r="K175" s="32" t="str">
        <f aca="false">IF(AND(I175="",N(J175)=0),"",N(I175)+N(J175))</f>
        <v/>
      </c>
      <c r="L175" s="32" t="str">
        <f aca="false">IF(OR(E175="",F175=""),"",F175*IFERROR(INDEX(Товары!$C$4:$C$200,MATCH(E175,Товары!$B$4:$B$200,0)),0))</f>
        <v/>
      </c>
      <c r="M175" s="32" t="str">
        <f aca="false">IF(I175="","",I175-L175)</f>
        <v/>
      </c>
      <c r="N175" s="28"/>
      <c r="O175" s="28"/>
      <c r="P175" s="28"/>
      <c r="Q175" s="28"/>
      <c r="R175" s="35"/>
      <c r="S175" s="28"/>
    </row>
    <row r="176" customFormat="false" ht="15" hidden="false" customHeight="false" outlineLevel="0" collapsed="false">
      <c r="A176" s="34" t="str">
        <f aca="false">IF(E176="","",ROW()-3)</f>
        <v/>
      </c>
      <c r="B176" s="35"/>
      <c r="C176" s="28"/>
      <c r="D176" s="28"/>
      <c r="E176" s="28"/>
      <c r="F176" s="28"/>
      <c r="G176" s="32" t="str">
        <f aca="false">IF(E176="","",IFERROR(INDEX(Товары!$D$4:$D$200,MATCH(E176,Товары!$B$4:$B$200,0)),0))</f>
        <v/>
      </c>
      <c r="H176" s="29"/>
      <c r="I176" s="32" t="str">
        <f aca="false">IF(OR(E176="",F176=""),"",F176*G176-N(H176))</f>
        <v/>
      </c>
      <c r="J176" s="29"/>
      <c r="K176" s="32" t="str">
        <f aca="false">IF(AND(I176="",N(J176)=0),"",N(I176)+N(J176))</f>
        <v/>
      </c>
      <c r="L176" s="32" t="str">
        <f aca="false">IF(OR(E176="",F176=""),"",F176*IFERROR(INDEX(Товары!$C$4:$C$200,MATCH(E176,Товары!$B$4:$B$200,0)),0))</f>
        <v/>
      </c>
      <c r="M176" s="32" t="str">
        <f aca="false">IF(I176="","",I176-L176)</f>
        <v/>
      </c>
      <c r="N176" s="28"/>
      <c r="O176" s="28"/>
      <c r="P176" s="28"/>
      <c r="Q176" s="28"/>
      <c r="R176" s="35"/>
      <c r="S176" s="28"/>
    </row>
    <row r="177" customFormat="false" ht="15" hidden="false" customHeight="false" outlineLevel="0" collapsed="false">
      <c r="A177" s="34" t="str">
        <f aca="false">IF(E177="","",ROW()-3)</f>
        <v/>
      </c>
      <c r="B177" s="35"/>
      <c r="C177" s="28"/>
      <c r="D177" s="28"/>
      <c r="E177" s="28"/>
      <c r="F177" s="28"/>
      <c r="G177" s="32" t="str">
        <f aca="false">IF(E177="","",IFERROR(INDEX(Товары!$D$4:$D$200,MATCH(E177,Товары!$B$4:$B$200,0)),0))</f>
        <v/>
      </c>
      <c r="H177" s="29"/>
      <c r="I177" s="32" t="str">
        <f aca="false">IF(OR(E177="",F177=""),"",F177*G177-N(H177))</f>
        <v/>
      </c>
      <c r="J177" s="29"/>
      <c r="K177" s="32" t="str">
        <f aca="false">IF(AND(I177="",N(J177)=0),"",N(I177)+N(J177))</f>
        <v/>
      </c>
      <c r="L177" s="32" t="str">
        <f aca="false">IF(OR(E177="",F177=""),"",F177*IFERROR(INDEX(Товары!$C$4:$C$200,MATCH(E177,Товары!$B$4:$B$200,0)),0))</f>
        <v/>
      </c>
      <c r="M177" s="32" t="str">
        <f aca="false">IF(I177="","",I177-L177)</f>
        <v/>
      </c>
      <c r="N177" s="28"/>
      <c r="O177" s="28"/>
      <c r="P177" s="28"/>
      <c r="Q177" s="28"/>
      <c r="R177" s="35"/>
      <c r="S177" s="28"/>
    </row>
    <row r="178" customFormat="false" ht="15" hidden="false" customHeight="false" outlineLevel="0" collapsed="false">
      <c r="A178" s="34" t="str">
        <f aca="false">IF(E178="","",ROW()-3)</f>
        <v/>
      </c>
      <c r="B178" s="35"/>
      <c r="C178" s="28"/>
      <c r="D178" s="28"/>
      <c r="E178" s="28"/>
      <c r="F178" s="28"/>
      <c r="G178" s="32" t="str">
        <f aca="false">IF(E178="","",IFERROR(INDEX(Товары!$D$4:$D$200,MATCH(E178,Товары!$B$4:$B$200,0)),0))</f>
        <v/>
      </c>
      <c r="H178" s="29"/>
      <c r="I178" s="32" t="str">
        <f aca="false">IF(OR(E178="",F178=""),"",F178*G178-N(H178))</f>
        <v/>
      </c>
      <c r="J178" s="29"/>
      <c r="K178" s="32" t="str">
        <f aca="false">IF(AND(I178="",N(J178)=0),"",N(I178)+N(J178))</f>
        <v/>
      </c>
      <c r="L178" s="32" t="str">
        <f aca="false">IF(OR(E178="",F178=""),"",F178*IFERROR(INDEX(Товары!$C$4:$C$200,MATCH(E178,Товары!$B$4:$B$200,0)),0))</f>
        <v/>
      </c>
      <c r="M178" s="32" t="str">
        <f aca="false">IF(I178="","",I178-L178)</f>
        <v/>
      </c>
      <c r="N178" s="28"/>
      <c r="O178" s="28"/>
      <c r="P178" s="28"/>
      <c r="Q178" s="28"/>
      <c r="R178" s="35"/>
      <c r="S178" s="28"/>
    </row>
    <row r="179" customFormat="false" ht="15" hidden="false" customHeight="false" outlineLevel="0" collapsed="false">
      <c r="A179" s="34" t="str">
        <f aca="false">IF(E179="","",ROW()-3)</f>
        <v/>
      </c>
      <c r="B179" s="35"/>
      <c r="C179" s="28"/>
      <c r="D179" s="28"/>
      <c r="E179" s="28"/>
      <c r="F179" s="28"/>
      <c r="G179" s="32" t="str">
        <f aca="false">IF(E179="","",IFERROR(INDEX(Товары!$D$4:$D$200,MATCH(E179,Товары!$B$4:$B$200,0)),0))</f>
        <v/>
      </c>
      <c r="H179" s="29"/>
      <c r="I179" s="32" t="str">
        <f aca="false">IF(OR(E179="",F179=""),"",F179*G179-N(H179))</f>
        <v/>
      </c>
      <c r="J179" s="29"/>
      <c r="K179" s="32" t="str">
        <f aca="false">IF(AND(I179="",N(J179)=0),"",N(I179)+N(J179))</f>
        <v/>
      </c>
      <c r="L179" s="32" t="str">
        <f aca="false">IF(OR(E179="",F179=""),"",F179*IFERROR(INDEX(Товары!$C$4:$C$200,MATCH(E179,Товары!$B$4:$B$200,0)),0))</f>
        <v/>
      </c>
      <c r="M179" s="32" t="str">
        <f aca="false">IF(I179="","",I179-L179)</f>
        <v/>
      </c>
      <c r="N179" s="28"/>
      <c r="O179" s="28"/>
      <c r="P179" s="28"/>
      <c r="Q179" s="28"/>
      <c r="R179" s="35"/>
      <c r="S179" s="28"/>
    </row>
    <row r="180" customFormat="false" ht="15" hidden="false" customHeight="false" outlineLevel="0" collapsed="false">
      <c r="A180" s="34" t="str">
        <f aca="false">IF(E180="","",ROW()-3)</f>
        <v/>
      </c>
      <c r="B180" s="35"/>
      <c r="C180" s="28"/>
      <c r="D180" s="28"/>
      <c r="E180" s="28"/>
      <c r="F180" s="28"/>
      <c r="G180" s="32" t="str">
        <f aca="false">IF(E180="","",IFERROR(INDEX(Товары!$D$4:$D$200,MATCH(E180,Товары!$B$4:$B$200,0)),0))</f>
        <v/>
      </c>
      <c r="H180" s="29"/>
      <c r="I180" s="32" t="str">
        <f aca="false">IF(OR(E180="",F180=""),"",F180*G180-N(H180))</f>
        <v/>
      </c>
      <c r="J180" s="29"/>
      <c r="K180" s="32" t="str">
        <f aca="false">IF(AND(I180="",N(J180)=0),"",N(I180)+N(J180))</f>
        <v/>
      </c>
      <c r="L180" s="32" t="str">
        <f aca="false">IF(OR(E180="",F180=""),"",F180*IFERROR(INDEX(Товары!$C$4:$C$200,MATCH(E180,Товары!$B$4:$B$200,0)),0))</f>
        <v/>
      </c>
      <c r="M180" s="32" t="str">
        <f aca="false">IF(I180="","",I180-L180)</f>
        <v/>
      </c>
      <c r="N180" s="28"/>
      <c r="O180" s="28"/>
      <c r="P180" s="28"/>
      <c r="Q180" s="28"/>
      <c r="R180" s="35"/>
      <c r="S180" s="28"/>
    </row>
    <row r="181" customFormat="false" ht="15" hidden="false" customHeight="false" outlineLevel="0" collapsed="false">
      <c r="A181" s="34" t="str">
        <f aca="false">IF(E181="","",ROW()-3)</f>
        <v/>
      </c>
      <c r="B181" s="35"/>
      <c r="C181" s="28"/>
      <c r="D181" s="28"/>
      <c r="E181" s="28"/>
      <c r="F181" s="28"/>
      <c r="G181" s="32" t="str">
        <f aca="false">IF(E181="","",IFERROR(INDEX(Товары!$D$4:$D$200,MATCH(E181,Товары!$B$4:$B$200,0)),0))</f>
        <v/>
      </c>
      <c r="H181" s="29"/>
      <c r="I181" s="32" t="str">
        <f aca="false">IF(OR(E181="",F181=""),"",F181*G181-N(H181))</f>
        <v/>
      </c>
      <c r="J181" s="29"/>
      <c r="K181" s="32" t="str">
        <f aca="false">IF(AND(I181="",N(J181)=0),"",N(I181)+N(J181))</f>
        <v/>
      </c>
      <c r="L181" s="32" t="str">
        <f aca="false">IF(OR(E181="",F181=""),"",F181*IFERROR(INDEX(Товары!$C$4:$C$200,MATCH(E181,Товары!$B$4:$B$200,0)),0))</f>
        <v/>
      </c>
      <c r="M181" s="32" t="str">
        <f aca="false">IF(I181="","",I181-L181)</f>
        <v/>
      </c>
      <c r="N181" s="28"/>
      <c r="O181" s="28"/>
      <c r="P181" s="28"/>
      <c r="Q181" s="28"/>
      <c r="R181" s="35"/>
      <c r="S181" s="28"/>
    </row>
    <row r="182" customFormat="false" ht="15" hidden="false" customHeight="false" outlineLevel="0" collapsed="false">
      <c r="A182" s="34" t="str">
        <f aca="false">IF(E182="","",ROW()-3)</f>
        <v/>
      </c>
      <c r="B182" s="35"/>
      <c r="C182" s="28"/>
      <c r="D182" s="28"/>
      <c r="E182" s="28"/>
      <c r="F182" s="28"/>
      <c r="G182" s="32" t="str">
        <f aca="false">IF(E182="","",IFERROR(INDEX(Товары!$D$4:$D$200,MATCH(E182,Товары!$B$4:$B$200,0)),0))</f>
        <v/>
      </c>
      <c r="H182" s="29"/>
      <c r="I182" s="32" t="str">
        <f aca="false">IF(OR(E182="",F182=""),"",F182*G182-N(H182))</f>
        <v/>
      </c>
      <c r="J182" s="29"/>
      <c r="K182" s="32" t="str">
        <f aca="false">IF(AND(I182="",N(J182)=0),"",N(I182)+N(J182))</f>
        <v/>
      </c>
      <c r="L182" s="32" t="str">
        <f aca="false">IF(OR(E182="",F182=""),"",F182*IFERROR(INDEX(Товары!$C$4:$C$200,MATCH(E182,Товары!$B$4:$B$200,0)),0))</f>
        <v/>
      </c>
      <c r="M182" s="32" t="str">
        <f aca="false">IF(I182="","",I182-L182)</f>
        <v/>
      </c>
      <c r="N182" s="28"/>
      <c r="O182" s="28"/>
      <c r="P182" s="28"/>
      <c r="Q182" s="28"/>
      <c r="R182" s="35"/>
      <c r="S182" s="28"/>
    </row>
    <row r="183" customFormat="false" ht="15" hidden="false" customHeight="false" outlineLevel="0" collapsed="false">
      <c r="A183" s="34" t="str">
        <f aca="false">IF(E183="","",ROW()-3)</f>
        <v/>
      </c>
      <c r="B183" s="35"/>
      <c r="C183" s="28"/>
      <c r="D183" s="28"/>
      <c r="E183" s="28"/>
      <c r="F183" s="28"/>
      <c r="G183" s="32" t="str">
        <f aca="false">IF(E183="","",IFERROR(INDEX(Товары!$D$4:$D$200,MATCH(E183,Товары!$B$4:$B$200,0)),0))</f>
        <v/>
      </c>
      <c r="H183" s="29"/>
      <c r="I183" s="32" t="str">
        <f aca="false">IF(OR(E183="",F183=""),"",F183*G183-N(H183))</f>
        <v/>
      </c>
      <c r="J183" s="29"/>
      <c r="K183" s="32" t="str">
        <f aca="false">IF(AND(I183="",N(J183)=0),"",N(I183)+N(J183))</f>
        <v/>
      </c>
      <c r="L183" s="32" t="str">
        <f aca="false">IF(OR(E183="",F183=""),"",F183*IFERROR(INDEX(Товары!$C$4:$C$200,MATCH(E183,Товары!$B$4:$B$200,0)),0))</f>
        <v/>
      </c>
      <c r="M183" s="32" t="str">
        <f aca="false">IF(I183="","",I183-L183)</f>
        <v/>
      </c>
      <c r="N183" s="28"/>
      <c r="O183" s="28"/>
      <c r="P183" s="28"/>
      <c r="Q183" s="28"/>
      <c r="R183" s="35"/>
      <c r="S183" s="28"/>
    </row>
    <row r="184" customFormat="false" ht="15" hidden="false" customHeight="false" outlineLevel="0" collapsed="false">
      <c r="A184" s="34" t="str">
        <f aca="false">IF(E184="","",ROW()-3)</f>
        <v/>
      </c>
      <c r="B184" s="35"/>
      <c r="C184" s="28"/>
      <c r="D184" s="28"/>
      <c r="E184" s="28"/>
      <c r="F184" s="28"/>
      <c r="G184" s="32" t="str">
        <f aca="false">IF(E184="","",IFERROR(INDEX(Товары!$D$4:$D$200,MATCH(E184,Товары!$B$4:$B$200,0)),0))</f>
        <v/>
      </c>
      <c r="H184" s="29"/>
      <c r="I184" s="32" t="str">
        <f aca="false">IF(OR(E184="",F184=""),"",F184*G184-N(H184))</f>
        <v/>
      </c>
      <c r="J184" s="29"/>
      <c r="K184" s="32" t="str">
        <f aca="false">IF(AND(I184="",N(J184)=0),"",N(I184)+N(J184))</f>
        <v/>
      </c>
      <c r="L184" s="32" t="str">
        <f aca="false">IF(OR(E184="",F184=""),"",F184*IFERROR(INDEX(Товары!$C$4:$C$200,MATCH(E184,Товары!$B$4:$B$200,0)),0))</f>
        <v/>
      </c>
      <c r="M184" s="32" t="str">
        <f aca="false">IF(I184="","",I184-L184)</f>
        <v/>
      </c>
      <c r="N184" s="28"/>
      <c r="O184" s="28"/>
      <c r="P184" s="28"/>
      <c r="Q184" s="28"/>
      <c r="R184" s="35"/>
      <c r="S184" s="28"/>
    </row>
    <row r="185" customFormat="false" ht="15" hidden="false" customHeight="false" outlineLevel="0" collapsed="false">
      <c r="A185" s="34" t="str">
        <f aca="false">IF(E185="","",ROW()-3)</f>
        <v/>
      </c>
      <c r="B185" s="35"/>
      <c r="C185" s="28"/>
      <c r="D185" s="28"/>
      <c r="E185" s="28"/>
      <c r="F185" s="28"/>
      <c r="G185" s="32" t="str">
        <f aca="false">IF(E185="","",IFERROR(INDEX(Товары!$D$4:$D$200,MATCH(E185,Товары!$B$4:$B$200,0)),0))</f>
        <v/>
      </c>
      <c r="H185" s="29"/>
      <c r="I185" s="32" t="str">
        <f aca="false">IF(OR(E185="",F185=""),"",F185*G185-N(H185))</f>
        <v/>
      </c>
      <c r="J185" s="29"/>
      <c r="K185" s="32" t="str">
        <f aca="false">IF(AND(I185="",N(J185)=0),"",N(I185)+N(J185))</f>
        <v/>
      </c>
      <c r="L185" s="32" t="str">
        <f aca="false">IF(OR(E185="",F185=""),"",F185*IFERROR(INDEX(Товары!$C$4:$C$200,MATCH(E185,Товары!$B$4:$B$200,0)),0))</f>
        <v/>
      </c>
      <c r="M185" s="32" t="str">
        <f aca="false">IF(I185="","",I185-L185)</f>
        <v/>
      </c>
      <c r="N185" s="28"/>
      <c r="O185" s="28"/>
      <c r="P185" s="28"/>
      <c r="Q185" s="28"/>
      <c r="R185" s="35"/>
      <c r="S185" s="28"/>
    </row>
    <row r="186" customFormat="false" ht="15" hidden="false" customHeight="false" outlineLevel="0" collapsed="false">
      <c r="A186" s="34" t="str">
        <f aca="false">IF(E186="","",ROW()-3)</f>
        <v/>
      </c>
      <c r="B186" s="35"/>
      <c r="C186" s="28"/>
      <c r="D186" s="28"/>
      <c r="E186" s="28"/>
      <c r="F186" s="28"/>
      <c r="G186" s="32" t="str">
        <f aca="false">IF(E186="","",IFERROR(INDEX(Товары!$D$4:$D$200,MATCH(E186,Товары!$B$4:$B$200,0)),0))</f>
        <v/>
      </c>
      <c r="H186" s="29"/>
      <c r="I186" s="32" t="str">
        <f aca="false">IF(OR(E186="",F186=""),"",F186*G186-N(H186))</f>
        <v/>
      </c>
      <c r="J186" s="29"/>
      <c r="K186" s="32" t="str">
        <f aca="false">IF(AND(I186="",N(J186)=0),"",N(I186)+N(J186))</f>
        <v/>
      </c>
      <c r="L186" s="32" t="str">
        <f aca="false">IF(OR(E186="",F186=""),"",F186*IFERROR(INDEX(Товары!$C$4:$C$200,MATCH(E186,Товары!$B$4:$B$200,0)),0))</f>
        <v/>
      </c>
      <c r="M186" s="32" t="str">
        <f aca="false">IF(I186="","",I186-L186)</f>
        <v/>
      </c>
      <c r="N186" s="28"/>
      <c r="O186" s="28"/>
      <c r="P186" s="28"/>
      <c r="Q186" s="28"/>
      <c r="R186" s="35"/>
      <c r="S186" s="28"/>
    </row>
    <row r="187" customFormat="false" ht="15" hidden="false" customHeight="false" outlineLevel="0" collapsed="false">
      <c r="A187" s="34" t="str">
        <f aca="false">IF(E187="","",ROW()-3)</f>
        <v/>
      </c>
      <c r="B187" s="35"/>
      <c r="C187" s="28"/>
      <c r="D187" s="28"/>
      <c r="E187" s="28"/>
      <c r="F187" s="28"/>
      <c r="G187" s="32" t="str">
        <f aca="false">IF(E187="","",IFERROR(INDEX(Товары!$D$4:$D$200,MATCH(E187,Товары!$B$4:$B$200,0)),0))</f>
        <v/>
      </c>
      <c r="H187" s="29"/>
      <c r="I187" s="32" t="str">
        <f aca="false">IF(OR(E187="",F187=""),"",F187*G187-N(H187))</f>
        <v/>
      </c>
      <c r="J187" s="29"/>
      <c r="K187" s="32" t="str">
        <f aca="false">IF(AND(I187="",N(J187)=0),"",N(I187)+N(J187))</f>
        <v/>
      </c>
      <c r="L187" s="32" t="str">
        <f aca="false">IF(OR(E187="",F187=""),"",F187*IFERROR(INDEX(Товары!$C$4:$C$200,MATCH(E187,Товары!$B$4:$B$200,0)),0))</f>
        <v/>
      </c>
      <c r="M187" s="32" t="str">
        <f aca="false">IF(I187="","",I187-L187)</f>
        <v/>
      </c>
      <c r="N187" s="28"/>
      <c r="O187" s="28"/>
      <c r="P187" s="28"/>
      <c r="Q187" s="28"/>
      <c r="R187" s="35"/>
      <c r="S187" s="28"/>
    </row>
    <row r="188" customFormat="false" ht="15" hidden="false" customHeight="false" outlineLevel="0" collapsed="false">
      <c r="A188" s="34" t="str">
        <f aca="false">IF(E188="","",ROW()-3)</f>
        <v/>
      </c>
      <c r="B188" s="35"/>
      <c r="C188" s="28"/>
      <c r="D188" s="28"/>
      <c r="E188" s="28"/>
      <c r="F188" s="28"/>
      <c r="G188" s="32" t="str">
        <f aca="false">IF(E188="","",IFERROR(INDEX(Товары!$D$4:$D$200,MATCH(E188,Товары!$B$4:$B$200,0)),0))</f>
        <v/>
      </c>
      <c r="H188" s="29"/>
      <c r="I188" s="32" t="str">
        <f aca="false">IF(OR(E188="",F188=""),"",F188*G188-N(H188))</f>
        <v/>
      </c>
      <c r="J188" s="29"/>
      <c r="K188" s="32" t="str">
        <f aca="false">IF(AND(I188="",N(J188)=0),"",N(I188)+N(J188))</f>
        <v/>
      </c>
      <c r="L188" s="32" t="str">
        <f aca="false">IF(OR(E188="",F188=""),"",F188*IFERROR(INDEX(Товары!$C$4:$C$200,MATCH(E188,Товары!$B$4:$B$200,0)),0))</f>
        <v/>
      </c>
      <c r="M188" s="32" t="str">
        <f aca="false">IF(I188="","",I188-L188)</f>
        <v/>
      </c>
      <c r="N188" s="28"/>
      <c r="O188" s="28"/>
      <c r="P188" s="28"/>
      <c r="Q188" s="28"/>
      <c r="R188" s="35"/>
      <c r="S188" s="28"/>
    </row>
    <row r="189" customFormat="false" ht="15" hidden="false" customHeight="false" outlineLevel="0" collapsed="false">
      <c r="A189" s="34" t="str">
        <f aca="false">IF(E189="","",ROW()-3)</f>
        <v/>
      </c>
      <c r="B189" s="35"/>
      <c r="C189" s="28"/>
      <c r="D189" s="28"/>
      <c r="E189" s="28"/>
      <c r="F189" s="28"/>
      <c r="G189" s="32" t="str">
        <f aca="false">IF(E189="","",IFERROR(INDEX(Товары!$D$4:$D$200,MATCH(E189,Товары!$B$4:$B$200,0)),0))</f>
        <v/>
      </c>
      <c r="H189" s="29"/>
      <c r="I189" s="32" t="str">
        <f aca="false">IF(OR(E189="",F189=""),"",F189*G189-N(H189))</f>
        <v/>
      </c>
      <c r="J189" s="29"/>
      <c r="K189" s="32" t="str">
        <f aca="false">IF(AND(I189="",N(J189)=0),"",N(I189)+N(J189))</f>
        <v/>
      </c>
      <c r="L189" s="32" t="str">
        <f aca="false">IF(OR(E189="",F189=""),"",F189*IFERROR(INDEX(Товары!$C$4:$C$200,MATCH(E189,Товары!$B$4:$B$200,0)),0))</f>
        <v/>
      </c>
      <c r="M189" s="32" t="str">
        <f aca="false">IF(I189="","",I189-L189)</f>
        <v/>
      </c>
      <c r="N189" s="28"/>
      <c r="O189" s="28"/>
      <c r="P189" s="28"/>
      <c r="Q189" s="28"/>
      <c r="R189" s="35"/>
      <c r="S189" s="28"/>
    </row>
    <row r="190" customFormat="false" ht="15" hidden="false" customHeight="false" outlineLevel="0" collapsed="false">
      <c r="A190" s="34" t="str">
        <f aca="false">IF(E190="","",ROW()-3)</f>
        <v/>
      </c>
      <c r="B190" s="35"/>
      <c r="C190" s="28"/>
      <c r="D190" s="28"/>
      <c r="E190" s="28"/>
      <c r="F190" s="28"/>
      <c r="G190" s="32" t="str">
        <f aca="false">IF(E190="","",IFERROR(INDEX(Товары!$D$4:$D$200,MATCH(E190,Товары!$B$4:$B$200,0)),0))</f>
        <v/>
      </c>
      <c r="H190" s="29"/>
      <c r="I190" s="32" t="str">
        <f aca="false">IF(OR(E190="",F190=""),"",F190*G190-N(H190))</f>
        <v/>
      </c>
      <c r="J190" s="29"/>
      <c r="K190" s="32" t="str">
        <f aca="false">IF(AND(I190="",N(J190)=0),"",N(I190)+N(J190))</f>
        <v/>
      </c>
      <c r="L190" s="32" t="str">
        <f aca="false">IF(OR(E190="",F190=""),"",F190*IFERROR(INDEX(Товары!$C$4:$C$200,MATCH(E190,Товары!$B$4:$B$200,0)),0))</f>
        <v/>
      </c>
      <c r="M190" s="32" t="str">
        <f aca="false">IF(I190="","",I190-L190)</f>
        <v/>
      </c>
      <c r="N190" s="28"/>
      <c r="O190" s="28"/>
      <c r="P190" s="28"/>
      <c r="Q190" s="28"/>
      <c r="R190" s="35"/>
      <c r="S190" s="28"/>
    </row>
    <row r="191" customFormat="false" ht="15" hidden="false" customHeight="false" outlineLevel="0" collapsed="false">
      <c r="A191" s="34" t="str">
        <f aca="false">IF(E191="","",ROW()-3)</f>
        <v/>
      </c>
      <c r="B191" s="35"/>
      <c r="C191" s="28"/>
      <c r="D191" s="28"/>
      <c r="E191" s="28"/>
      <c r="F191" s="28"/>
      <c r="G191" s="32" t="str">
        <f aca="false">IF(E191="","",IFERROR(INDEX(Товары!$D$4:$D$200,MATCH(E191,Товары!$B$4:$B$200,0)),0))</f>
        <v/>
      </c>
      <c r="H191" s="29"/>
      <c r="I191" s="32" t="str">
        <f aca="false">IF(OR(E191="",F191=""),"",F191*G191-N(H191))</f>
        <v/>
      </c>
      <c r="J191" s="29"/>
      <c r="K191" s="32" t="str">
        <f aca="false">IF(AND(I191="",N(J191)=0),"",N(I191)+N(J191))</f>
        <v/>
      </c>
      <c r="L191" s="32" t="str">
        <f aca="false">IF(OR(E191="",F191=""),"",F191*IFERROR(INDEX(Товары!$C$4:$C$200,MATCH(E191,Товары!$B$4:$B$200,0)),0))</f>
        <v/>
      </c>
      <c r="M191" s="32" t="str">
        <f aca="false">IF(I191="","",I191-L191)</f>
        <v/>
      </c>
      <c r="N191" s="28"/>
      <c r="O191" s="28"/>
      <c r="P191" s="28"/>
      <c r="Q191" s="28"/>
      <c r="R191" s="35"/>
      <c r="S191" s="28"/>
    </row>
    <row r="192" customFormat="false" ht="15" hidden="false" customHeight="false" outlineLevel="0" collapsed="false">
      <c r="A192" s="34" t="str">
        <f aca="false">IF(E192="","",ROW()-3)</f>
        <v/>
      </c>
      <c r="B192" s="35"/>
      <c r="C192" s="28"/>
      <c r="D192" s="28"/>
      <c r="E192" s="28"/>
      <c r="F192" s="28"/>
      <c r="G192" s="32" t="str">
        <f aca="false">IF(E192="","",IFERROR(INDEX(Товары!$D$4:$D$200,MATCH(E192,Товары!$B$4:$B$200,0)),0))</f>
        <v/>
      </c>
      <c r="H192" s="29"/>
      <c r="I192" s="32" t="str">
        <f aca="false">IF(OR(E192="",F192=""),"",F192*G192-N(H192))</f>
        <v/>
      </c>
      <c r="J192" s="29"/>
      <c r="K192" s="32" t="str">
        <f aca="false">IF(AND(I192="",N(J192)=0),"",N(I192)+N(J192))</f>
        <v/>
      </c>
      <c r="L192" s="32" t="str">
        <f aca="false">IF(OR(E192="",F192=""),"",F192*IFERROR(INDEX(Товары!$C$4:$C$200,MATCH(E192,Товары!$B$4:$B$200,0)),0))</f>
        <v/>
      </c>
      <c r="M192" s="32" t="str">
        <f aca="false">IF(I192="","",I192-L192)</f>
        <v/>
      </c>
      <c r="N192" s="28"/>
      <c r="O192" s="28"/>
      <c r="P192" s="28"/>
      <c r="Q192" s="28"/>
      <c r="R192" s="35"/>
      <c r="S192" s="28"/>
    </row>
    <row r="193" customFormat="false" ht="15" hidden="false" customHeight="false" outlineLevel="0" collapsed="false">
      <c r="A193" s="34" t="str">
        <f aca="false">IF(E193="","",ROW()-3)</f>
        <v/>
      </c>
      <c r="B193" s="35"/>
      <c r="C193" s="28"/>
      <c r="D193" s="28"/>
      <c r="E193" s="28"/>
      <c r="F193" s="28"/>
      <c r="G193" s="32" t="str">
        <f aca="false">IF(E193="","",IFERROR(INDEX(Товары!$D$4:$D$200,MATCH(E193,Товары!$B$4:$B$200,0)),0))</f>
        <v/>
      </c>
      <c r="H193" s="29"/>
      <c r="I193" s="32" t="str">
        <f aca="false">IF(OR(E193="",F193=""),"",F193*G193-N(H193))</f>
        <v/>
      </c>
      <c r="J193" s="29"/>
      <c r="K193" s="32" t="str">
        <f aca="false">IF(AND(I193="",N(J193)=0),"",N(I193)+N(J193))</f>
        <v/>
      </c>
      <c r="L193" s="32" t="str">
        <f aca="false">IF(OR(E193="",F193=""),"",F193*IFERROR(INDEX(Товары!$C$4:$C$200,MATCH(E193,Товары!$B$4:$B$200,0)),0))</f>
        <v/>
      </c>
      <c r="M193" s="32" t="str">
        <f aca="false">IF(I193="","",I193-L193)</f>
        <v/>
      </c>
      <c r="N193" s="28"/>
      <c r="O193" s="28"/>
      <c r="P193" s="28"/>
      <c r="Q193" s="28"/>
      <c r="R193" s="35"/>
      <c r="S193" s="28"/>
    </row>
    <row r="194" customFormat="false" ht="15" hidden="false" customHeight="false" outlineLevel="0" collapsed="false">
      <c r="A194" s="34" t="str">
        <f aca="false">IF(E194="","",ROW()-3)</f>
        <v/>
      </c>
      <c r="B194" s="35"/>
      <c r="C194" s="28"/>
      <c r="D194" s="28"/>
      <c r="E194" s="28"/>
      <c r="F194" s="28"/>
      <c r="G194" s="32" t="str">
        <f aca="false">IF(E194="","",IFERROR(INDEX(Товары!$D$4:$D$200,MATCH(E194,Товары!$B$4:$B$200,0)),0))</f>
        <v/>
      </c>
      <c r="H194" s="29"/>
      <c r="I194" s="32" t="str">
        <f aca="false">IF(OR(E194="",F194=""),"",F194*G194-N(H194))</f>
        <v/>
      </c>
      <c r="J194" s="29"/>
      <c r="K194" s="32" t="str">
        <f aca="false">IF(AND(I194="",N(J194)=0),"",N(I194)+N(J194))</f>
        <v/>
      </c>
      <c r="L194" s="32" t="str">
        <f aca="false">IF(OR(E194="",F194=""),"",F194*IFERROR(INDEX(Товары!$C$4:$C$200,MATCH(E194,Товары!$B$4:$B$200,0)),0))</f>
        <v/>
      </c>
      <c r="M194" s="32" t="str">
        <f aca="false">IF(I194="","",I194-L194)</f>
        <v/>
      </c>
      <c r="N194" s="28"/>
      <c r="O194" s="28"/>
      <c r="P194" s="28"/>
      <c r="Q194" s="28"/>
      <c r="R194" s="35"/>
      <c r="S194" s="28"/>
    </row>
    <row r="195" customFormat="false" ht="15" hidden="false" customHeight="false" outlineLevel="0" collapsed="false">
      <c r="A195" s="34" t="str">
        <f aca="false">IF(E195="","",ROW()-3)</f>
        <v/>
      </c>
      <c r="B195" s="35"/>
      <c r="C195" s="28"/>
      <c r="D195" s="28"/>
      <c r="E195" s="28"/>
      <c r="F195" s="28"/>
      <c r="G195" s="32" t="str">
        <f aca="false">IF(E195="","",IFERROR(INDEX(Товары!$D$4:$D$200,MATCH(E195,Товары!$B$4:$B$200,0)),0))</f>
        <v/>
      </c>
      <c r="H195" s="29"/>
      <c r="I195" s="32" t="str">
        <f aca="false">IF(OR(E195="",F195=""),"",F195*G195-N(H195))</f>
        <v/>
      </c>
      <c r="J195" s="29"/>
      <c r="K195" s="32" t="str">
        <f aca="false">IF(AND(I195="",N(J195)=0),"",N(I195)+N(J195))</f>
        <v/>
      </c>
      <c r="L195" s="32" t="str">
        <f aca="false">IF(OR(E195="",F195=""),"",F195*IFERROR(INDEX(Товары!$C$4:$C$200,MATCH(E195,Товары!$B$4:$B$200,0)),0))</f>
        <v/>
      </c>
      <c r="M195" s="32" t="str">
        <f aca="false">IF(I195="","",I195-L195)</f>
        <v/>
      </c>
      <c r="N195" s="28"/>
      <c r="O195" s="28"/>
      <c r="P195" s="28"/>
      <c r="Q195" s="28"/>
      <c r="R195" s="35"/>
      <c r="S195" s="28"/>
    </row>
    <row r="196" customFormat="false" ht="15" hidden="false" customHeight="false" outlineLevel="0" collapsed="false">
      <c r="A196" s="34" t="str">
        <f aca="false">IF(E196="","",ROW()-3)</f>
        <v/>
      </c>
      <c r="B196" s="35"/>
      <c r="C196" s="28"/>
      <c r="D196" s="28"/>
      <c r="E196" s="28"/>
      <c r="F196" s="28"/>
      <c r="G196" s="32" t="str">
        <f aca="false">IF(E196="","",IFERROR(INDEX(Товары!$D$4:$D$200,MATCH(E196,Товары!$B$4:$B$200,0)),0))</f>
        <v/>
      </c>
      <c r="H196" s="29"/>
      <c r="I196" s="32" t="str">
        <f aca="false">IF(OR(E196="",F196=""),"",F196*G196-N(H196))</f>
        <v/>
      </c>
      <c r="J196" s="29"/>
      <c r="K196" s="32" t="str">
        <f aca="false">IF(AND(I196="",N(J196)=0),"",N(I196)+N(J196))</f>
        <v/>
      </c>
      <c r="L196" s="32" t="str">
        <f aca="false">IF(OR(E196="",F196=""),"",F196*IFERROR(INDEX(Товары!$C$4:$C$200,MATCH(E196,Товары!$B$4:$B$200,0)),0))</f>
        <v/>
      </c>
      <c r="M196" s="32" t="str">
        <f aca="false">IF(I196="","",I196-L196)</f>
        <v/>
      </c>
      <c r="N196" s="28"/>
      <c r="O196" s="28"/>
      <c r="P196" s="28"/>
      <c r="Q196" s="28"/>
      <c r="R196" s="35"/>
      <c r="S196" s="28"/>
    </row>
    <row r="197" customFormat="false" ht="15" hidden="false" customHeight="false" outlineLevel="0" collapsed="false">
      <c r="A197" s="34" t="str">
        <f aca="false">IF(E197="","",ROW()-3)</f>
        <v/>
      </c>
      <c r="B197" s="35"/>
      <c r="C197" s="28"/>
      <c r="D197" s="28"/>
      <c r="E197" s="28"/>
      <c r="F197" s="28"/>
      <c r="G197" s="32" t="str">
        <f aca="false">IF(E197="","",IFERROR(INDEX(Товары!$D$4:$D$200,MATCH(E197,Товары!$B$4:$B$200,0)),0))</f>
        <v/>
      </c>
      <c r="H197" s="29"/>
      <c r="I197" s="32" t="str">
        <f aca="false">IF(OR(E197="",F197=""),"",F197*G197-N(H197))</f>
        <v/>
      </c>
      <c r="J197" s="29"/>
      <c r="K197" s="32" t="str">
        <f aca="false">IF(AND(I197="",N(J197)=0),"",N(I197)+N(J197))</f>
        <v/>
      </c>
      <c r="L197" s="32" t="str">
        <f aca="false">IF(OR(E197="",F197=""),"",F197*IFERROR(INDEX(Товары!$C$4:$C$200,MATCH(E197,Товары!$B$4:$B$200,0)),0))</f>
        <v/>
      </c>
      <c r="M197" s="32" t="str">
        <f aca="false">IF(I197="","",I197-L197)</f>
        <v/>
      </c>
      <c r="N197" s="28"/>
      <c r="O197" s="28"/>
      <c r="P197" s="28"/>
      <c r="Q197" s="28"/>
      <c r="R197" s="35"/>
      <c r="S197" s="28"/>
    </row>
    <row r="198" customFormat="false" ht="15" hidden="false" customHeight="false" outlineLevel="0" collapsed="false">
      <c r="A198" s="34" t="str">
        <f aca="false">IF(E198="","",ROW()-3)</f>
        <v/>
      </c>
      <c r="B198" s="35"/>
      <c r="C198" s="28"/>
      <c r="D198" s="28"/>
      <c r="E198" s="28"/>
      <c r="F198" s="28"/>
      <c r="G198" s="32" t="str">
        <f aca="false">IF(E198="","",IFERROR(INDEX(Товары!$D$4:$D$200,MATCH(E198,Товары!$B$4:$B$200,0)),0))</f>
        <v/>
      </c>
      <c r="H198" s="29"/>
      <c r="I198" s="32" t="str">
        <f aca="false">IF(OR(E198="",F198=""),"",F198*G198-N(H198))</f>
        <v/>
      </c>
      <c r="J198" s="29"/>
      <c r="K198" s="32" t="str">
        <f aca="false">IF(AND(I198="",N(J198)=0),"",N(I198)+N(J198))</f>
        <v/>
      </c>
      <c r="L198" s="32" t="str">
        <f aca="false">IF(OR(E198="",F198=""),"",F198*IFERROR(INDEX(Товары!$C$4:$C$200,MATCH(E198,Товары!$B$4:$B$200,0)),0))</f>
        <v/>
      </c>
      <c r="M198" s="32" t="str">
        <f aca="false">IF(I198="","",I198-L198)</f>
        <v/>
      </c>
      <c r="N198" s="28"/>
      <c r="O198" s="28"/>
      <c r="P198" s="28"/>
      <c r="Q198" s="28"/>
      <c r="R198" s="35"/>
      <c r="S198" s="28"/>
    </row>
    <row r="199" customFormat="false" ht="15" hidden="false" customHeight="false" outlineLevel="0" collapsed="false">
      <c r="A199" s="34" t="str">
        <f aca="false">IF(E199="","",ROW()-3)</f>
        <v/>
      </c>
      <c r="B199" s="35"/>
      <c r="C199" s="28"/>
      <c r="D199" s="28"/>
      <c r="E199" s="28"/>
      <c r="F199" s="28"/>
      <c r="G199" s="32" t="str">
        <f aca="false">IF(E199="","",IFERROR(INDEX(Товары!$D$4:$D$200,MATCH(E199,Товары!$B$4:$B$200,0)),0))</f>
        <v/>
      </c>
      <c r="H199" s="29"/>
      <c r="I199" s="32" t="str">
        <f aca="false">IF(OR(E199="",F199=""),"",F199*G199-N(H199))</f>
        <v/>
      </c>
      <c r="J199" s="29"/>
      <c r="K199" s="32" t="str">
        <f aca="false">IF(AND(I199="",N(J199)=0),"",N(I199)+N(J199))</f>
        <v/>
      </c>
      <c r="L199" s="32" t="str">
        <f aca="false">IF(OR(E199="",F199=""),"",F199*IFERROR(INDEX(Товары!$C$4:$C$200,MATCH(E199,Товары!$B$4:$B$200,0)),0))</f>
        <v/>
      </c>
      <c r="M199" s="32" t="str">
        <f aca="false">IF(I199="","",I199-L199)</f>
        <v/>
      </c>
      <c r="N199" s="28"/>
      <c r="O199" s="28"/>
      <c r="P199" s="28"/>
      <c r="Q199" s="28"/>
      <c r="R199" s="35"/>
      <c r="S199" s="28"/>
    </row>
    <row r="200" customFormat="false" ht="15" hidden="false" customHeight="false" outlineLevel="0" collapsed="false">
      <c r="A200" s="34" t="str">
        <f aca="false">IF(E200="","",ROW()-3)</f>
        <v/>
      </c>
      <c r="B200" s="35"/>
      <c r="C200" s="28"/>
      <c r="D200" s="28"/>
      <c r="E200" s="28"/>
      <c r="F200" s="28"/>
      <c r="G200" s="32" t="str">
        <f aca="false">IF(E200="","",IFERROR(INDEX(Товары!$D$4:$D$200,MATCH(E200,Товары!$B$4:$B$200,0)),0))</f>
        <v/>
      </c>
      <c r="H200" s="29"/>
      <c r="I200" s="32" t="str">
        <f aca="false">IF(OR(E200="",F200=""),"",F200*G200-N(H200))</f>
        <v/>
      </c>
      <c r="J200" s="29"/>
      <c r="K200" s="32" t="str">
        <f aca="false">IF(AND(I200="",N(J200)=0),"",N(I200)+N(J200))</f>
        <v/>
      </c>
      <c r="L200" s="32" t="str">
        <f aca="false">IF(OR(E200="",F200=""),"",F200*IFERROR(INDEX(Товары!$C$4:$C$200,MATCH(E200,Товары!$B$4:$B$200,0)),0))</f>
        <v/>
      </c>
      <c r="M200" s="32" t="str">
        <f aca="false">IF(I200="","",I200-L200)</f>
        <v/>
      </c>
      <c r="N200" s="28"/>
      <c r="O200" s="28"/>
      <c r="P200" s="28"/>
      <c r="Q200" s="28"/>
      <c r="R200" s="35"/>
      <c r="S200" s="28"/>
    </row>
    <row r="201" customFormat="false" ht="15" hidden="false" customHeight="false" outlineLevel="0" collapsed="false">
      <c r="A201" s="34" t="str">
        <f aca="false">IF(E201="","",ROW()-3)</f>
        <v/>
      </c>
      <c r="B201" s="35"/>
      <c r="C201" s="28"/>
      <c r="D201" s="28"/>
      <c r="E201" s="28"/>
      <c r="F201" s="28"/>
      <c r="G201" s="32" t="str">
        <f aca="false">IF(E201="","",IFERROR(INDEX(Товары!$D$4:$D$200,MATCH(E201,Товары!$B$4:$B$200,0)),0))</f>
        <v/>
      </c>
      <c r="H201" s="29"/>
      <c r="I201" s="32" t="str">
        <f aca="false">IF(OR(E201="",F201=""),"",F201*G201-N(H201))</f>
        <v/>
      </c>
      <c r="J201" s="29"/>
      <c r="K201" s="32" t="str">
        <f aca="false">IF(AND(I201="",N(J201)=0),"",N(I201)+N(J201))</f>
        <v/>
      </c>
      <c r="L201" s="32" t="str">
        <f aca="false">IF(OR(E201="",F201=""),"",F201*IFERROR(INDEX(Товары!$C$4:$C$200,MATCH(E201,Товары!$B$4:$B$200,0)),0))</f>
        <v/>
      </c>
      <c r="M201" s="32" t="str">
        <f aca="false">IF(I201="","",I201-L201)</f>
        <v/>
      </c>
      <c r="N201" s="28"/>
      <c r="O201" s="28"/>
      <c r="P201" s="28"/>
      <c r="Q201" s="28"/>
      <c r="R201" s="35"/>
      <c r="S201" s="28"/>
    </row>
    <row r="202" customFormat="false" ht="15" hidden="false" customHeight="false" outlineLevel="0" collapsed="false">
      <c r="A202" s="34" t="str">
        <f aca="false">IF(E202="","",ROW()-3)</f>
        <v/>
      </c>
      <c r="B202" s="35"/>
      <c r="C202" s="28"/>
      <c r="D202" s="28"/>
      <c r="E202" s="28"/>
      <c r="F202" s="28"/>
      <c r="G202" s="32" t="str">
        <f aca="false">IF(E202="","",IFERROR(INDEX(Товары!$D$4:$D$200,MATCH(E202,Товары!$B$4:$B$200,0)),0))</f>
        <v/>
      </c>
      <c r="H202" s="29"/>
      <c r="I202" s="32" t="str">
        <f aca="false">IF(OR(E202="",F202=""),"",F202*G202-N(H202))</f>
        <v/>
      </c>
      <c r="J202" s="29"/>
      <c r="K202" s="32" t="str">
        <f aca="false">IF(AND(I202="",N(J202)=0),"",N(I202)+N(J202))</f>
        <v/>
      </c>
      <c r="L202" s="32" t="str">
        <f aca="false">IF(OR(E202="",F202=""),"",F202*IFERROR(INDEX(Товары!$C$4:$C$200,MATCH(E202,Товары!$B$4:$B$200,0)),0))</f>
        <v/>
      </c>
      <c r="M202" s="32" t="str">
        <f aca="false">IF(I202="","",I202-L202)</f>
        <v/>
      </c>
      <c r="N202" s="28"/>
      <c r="O202" s="28"/>
      <c r="P202" s="28"/>
      <c r="Q202" s="28"/>
      <c r="R202" s="35"/>
      <c r="S202" s="28"/>
    </row>
    <row r="203" customFormat="false" ht="15" hidden="false" customHeight="false" outlineLevel="0" collapsed="false">
      <c r="A203" s="34" t="str">
        <f aca="false">IF(E203="","",ROW()-3)</f>
        <v/>
      </c>
      <c r="B203" s="35"/>
      <c r="C203" s="28"/>
      <c r="D203" s="28"/>
      <c r="E203" s="28"/>
      <c r="F203" s="28"/>
      <c r="G203" s="32" t="str">
        <f aca="false">IF(E203="","",IFERROR(INDEX(Товары!$D$4:$D$200,MATCH(E203,Товары!$B$4:$B$200,0)),0))</f>
        <v/>
      </c>
      <c r="H203" s="29"/>
      <c r="I203" s="32" t="str">
        <f aca="false">IF(OR(E203="",F203=""),"",F203*G203-N(H203))</f>
        <v/>
      </c>
      <c r="J203" s="29"/>
      <c r="K203" s="32" t="str">
        <f aca="false">IF(AND(I203="",N(J203)=0),"",N(I203)+N(J203))</f>
        <v/>
      </c>
      <c r="L203" s="32" t="str">
        <f aca="false">IF(OR(E203="",F203=""),"",F203*IFERROR(INDEX(Товары!$C$4:$C$200,MATCH(E203,Товары!$B$4:$B$200,0)),0))</f>
        <v/>
      </c>
      <c r="M203" s="32" t="str">
        <f aca="false">IF(I203="","",I203-L203)</f>
        <v/>
      </c>
      <c r="N203" s="28"/>
      <c r="O203" s="28"/>
      <c r="P203" s="28"/>
      <c r="Q203" s="28"/>
      <c r="R203" s="35"/>
      <c r="S203" s="28"/>
    </row>
    <row r="204" customFormat="false" ht="15" hidden="false" customHeight="false" outlineLevel="0" collapsed="false">
      <c r="A204" s="34" t="str">
        <f aca="false">IF(E204="","",ROW()-3)</f>
        <v/>
      </c>
      <c r="B204" s="35"/>
      <c r="C204" s="28"/>
      <c r="D204" s="28"/>
      <c r="E204" s="28"/>
      <c r="F204" s="28"/>
      <c r="G204" s="32" t="str">
        <f aca="false">IF(E204="","",IFERROR(INDEX(Товары!$D$4:$D$200,MATCH(E204,Товары!$B$4:$B$200,0)),0))</f>
        <v/>
      </c>
      <c r="H204" s="29"/>
      <c r="I204" s="32" t="str">
        <f aca="false">IF(OR(E204="",F204=""),"",F204*G204-N(H204))</f>
        <v/>
      </c>
      <c r="J204" s="29"/>
      <c r="K204" s="32" t="str">
        <f aca="false">IF(AND(I204="",N(J204)=0),"",N(I204)+N(J204))</f>
        <v/>
      </c>
      <c r="L204" s="32" t="str">
        <f aca="false">IF(OR(E204="",F204=""),"",F204*IFERROR(INDEX(Товары!$C$4:$C$200,MATCH(E204,Товары!$B$4:$B$200,0)),0))</f>
        <v/>
      </c>
      <c r="M204" s="32" t="str">
        <f aca="false">IF(I204="","",I204-L204)</f>
        <v/>
      </c>
      <c r="N204" s="28"/>
      <c r="O204" s="28"/>
      <c r="P204" s="28"/>
      <c r="Q204" s="28"/>
      <c r="R204" s="35"/>
      <c r="S204" s="28"/>
    </row>
    <row r="205" customFormat="false" ht="15" hidden="false" customHeight="false" outlineLevel="0" collapsed="false">
      <c r="A205" s="34" t="str">
        <f aca="false">IF(E205="","",ROW()-3)</f>
        <v/>
      </c>
      <c r="B205" s="35"/>
      <c r="C205" s="28"/>
      <c r="D205" s="28"/>
      <c r="E205" s="28"/>
      <c r="F205" s="28"/>
      <c r="G205" s="32" t="str">
        <f aca="false">IF(E205="","",IFERROR(INDEX(Товары!$D$4:$D$200,MATCH(E205,Товары!$B$4:$B$200,0)),0))</f>
        <v/>
      </c>
      <c r="H205" s="29"/>
      <c r="I205" s="32" t="str">
        <f aca="false">IF(OR(E205="",F205=""),"",F205*G205-N(H205))</f>
        <v/>
      </c>
      <c r="J205" s="29"/>
      <c r="K205" s="32" t="str">
        <f aca="false">IF(AND(I205="",N(J205)=0),"",N(I205)+N(J205))</f>
        <v/>
      </c>
      <c r="L205" s="32" t="str">
        <f aca="false">IF(OR(E205="",F205=""),"",F205*IFERROR(INDEX(Товары!$C$4:$C$200,MATCH(E205,Товары!$B$4:$B$200,0)),0))</f>
        <v/>
      </c>
      <c r="M205" s="32" t="str">
        <f aca="false">IF(I205="","",I205-L205)</f>
        <v/>
      </c>
      <c r="N205" s="28"/>
      <c r="O205" s="28"/>
      <c r="P205" s="28"/>
      <c r="Q205" s="28"/>
      <c r="R205" s="35"/>
      <c r="S205" s="28"/>
    </row>
    <row r="206" customFormat="false" ht="15" hidden="false" customHeight="false" outlineLevel="0" collapsed="false">
      <c r="A206" s="34" t="str">
        <f aca="false">IF(E206="","",ROW()-3)</f>
        <v/>
      </c>
      <c r="B206" s="35"/>
      <c r="C206" s="28"/>
      <c r="D206" s="28"/>
      <c r="E206" s="28"/>
      <c r="F206" s="28"/>
      <c r="G206" s="32" t="str">
        <f aca="false">IF(E206="","",IFERROR(INDEX(Товары!$D$4:$D$200,MATCH(E206,Товары!$B$4:$B$200,0)),0))</f>
        <v/>
      </c>
      <c r="H206" s="29"/>
      <c r="I206" s="32" t="str">
        <f aca="false">IF(OR(E206="",F206=""),"",F206*G206-N(H206))</f>
        <v/>
      </c>
      <c r="J206" s="29"/>
      <c r="K206" s="32" t="str">
        <f aca="false">IF(AND(I206="",N(J206)=0),"",N(I206)+N(J206))</f>
        <v/>
      </c>
      <c r="L206" s="32" t="str">
        <f aca="false">IF(OR(E206="",F206=""),"",F206*IFERROR(INDEX(Товары!$C$4:$C$200,MATCH(E206,Товары!$B$4:$B$200,0)),0))</f>
        <v/>
      </c>
      <c r="M206" s="32" t="str">
        <f aca="false">IF(I206="","",I206-L206)</f>
        <v/>
      </c>
      <c r="N206" s="28"/>
      <c r="O206" s="28"/>
      <c r="P206" s="28"/>
      <c r="Q206" s="28"/>
      <c r="R206" s="35"/>
      <c r="S206" s="28"/>
    </row>
    <row r="207" customFormat="false" ht="15" hidden="false" customHeight="false" outlineLevel="0" collapsed="false">
      <c r="A207" s="34" t="str">
        <f aca="false">IF(E207="","",ROW()-3)</f>
        <v/>
      </c>
      <c r="B207" s="35"/>
      <c r="C207" s="28"/>
      <c r="D207" s="28"/>
      <c r="E207" s="28"/>
      <c r="F207" s="28"/>
      <c r="G207" s="32" t="str">
        <f aca="false">IF(E207="","",IFERROR(INDEX(Товары!$D$4:$D$200,MATCH(E207,Товары!$B$4:$B$200,0)),0))</f>
        <v/>
      </c>
      <c r="H207" s="29"/>
      <c r="I207" s="32" t="str">
        <f aca="false">IF(OR(E207="",F207=""),"",F207*G207-N(H207))</f>
        <v/>
      </c>
      <c r="J207" s="29"/>
      <c r="K207" s="32" t="str">
        <f aca="false">IF(AND(I207="",N(J207)=0),"",N(I207)+N(J207))</f>
        <v/>
      </c>
      <c r="L207" s="32" t="str">
        <f aca="false">IF(OR(E207="",F207=""),"",F207*IFERROR(INDEX(Товары!$C$4:$C$200,MATCH(E207,Товары!$B$4:$B$200,0)),0))</f>
        <v/>
      </c>
      <c r="M207" s="32" t="str">
        <f aca="false">IF(I207="","",I207-L207)</f>
        <v/>
      </c>
      <c r="N207" s="28"/>
      <c r="O207" s="28"/>
      <c r="P207" s="28"/>
      <c r="Q207" s="28"/>
      <c r="R207" s="35"/>
      <c r="S207" s="28"/>
    </row>
    <row r="208" customFormat="false" ht="15" hidden="false" customHeight="false" outlineLevel="0" collapsed="false">
      <c r="A208" s="34" t="str">
        <f aca="false">IF(E208="","",ROW()-3)</f>
        <v/>
      </c>
      <c r="B208" s="35"/>
      <c r="C208" s="28"/>
      <c r="D208" s="28"/>
      <c r="E208" s="28"/>
      <c r="F208" s="28"/>
      <c r="G208" s="32" t="str">
        <f aca="false">IF(E208="","",IFERROR(INDEX(Товары!$D$4:$D$200,MATCH(E208,Товары!$B$4:$B$200,0)),0))</f>
        <v/>
      </c>
      <c r="H208" s="29"/>
      <c r="I208" s="32" t="str">
        <f aca="false">IF(OR(E208="",F208=""),"",F208*G208-N(H208))</f>
        <v/>
      </c>
      <c r="J208" s="29"/>
      <c r="K208" s="32" t="str">
        <f aca="false">IF(AND(I208="",N(J208)=0),"",N(I208)+N(J208))</f>
        <v/>
      </c>
      <c r="L208" s="32" t="str">
        <f aca="false">IF(OR(E208="",F208=""),"",F208*IFERROR(INDEX(Товары!$C$4:$C$200,MATCH(E208,Товары!$B$4:$B$200,0)),0))</f>
        <v/>
      </c>
      <c r="M208" s="32" t="str">
        <f aca="false">IF(I208="","",I208-L208)</f>
        <v/>
      </c>
      <c r="N208" s="28"/>
      <c r="O208" s="28"/>
      <c r="P208" s="28"/>
      <c r="Q208" s="28"/>
      <c r="R208" s="35"/>
      <c r="S208" s="28"/>
    </row>
    <row r="209" customFormat="false" ht="15" hidden="false" customHeight="false" outlineLevel="0" collapsed="false">
      <c r="A209" s="34" t="str">
        <f aca="false">IF(E209="","",ROW()-3)</f>
        <v/>
      </c>
      <c r="B209" s="35"/>
      <c r="C209" s="28"/>
      <c r="D209" s="28"/>
      <c r="E209" s="28"/>
      <c r="F209" s="28"/>
      <c r="G209" s="32" t="str">
        <f aca="false">IF(E209="","",IFERROR(INDEX(Товары!$D$4:$D$200,MATCH(E209,Товары!$B$4:$B$200,0)),0))</f>
        <v/>
      </c>
      <c r="H209" s="29"/>
      <c r="I209" s="32" t="str">
        <f aca="false">IF(OR(E209="",F209=""),"",F209*G209-N(H209))</f>
        <v/>
      </c>
      <c r="J209" s="29"/>
      <c r="K209" s="32" t="str">
        <f aca="false">IF(AND(I209="",N(J209)=0),"",N(I209)+N(J209))</f>
        <v/>
      </c>
      <c r="L209" s="32" t="str">
        <f aca="false">IF(OR(E209="",F209=""),"",F209*IFERROR(INDEX(Товары!$C$4:$C$200,MATCH(E209,Товары!$B$4:$B$200,0)),0))</f>
        <v/>
      </c>
      <c r="M209" s="32" t="str">
        <f aca="false">IF(I209="","",I209-L209)</f>
        <v/>
      </c>
      <c r="N209" s="28"/>
      <c r="O209" s="28"/>
      <c r="P209" s="28"/>
      <c r="Q209" s="28"/>
      <c r="R209" s="35"/>
      <c r="S209" s="28"/>
    </row>
    <row r="210" customFormat="false" ht="15" hidden="false" customHeight="false" outlineLevel="0" collapsed="false">
      <c r="A210" s="34" t="str">
        <f aca="false">IF(E210="","",ROW()-3)</f>
        <v/>
      </c>
      <c r="B210" s="35"/>
      <c r="C210" s="28"/>
      <c r="D210" s="28"/>
      <c r="E210" s="28"/>
      <c r="F210" s="28"/>
      <c r="G210" s="32" t="str">
        <f aca="false">IF(E210="","",IFERROR(INDEX(Товары!$D$4:$D$200,MATCH(E210,Товары!$B$4:$B$200,0)),0))</f>
        <v/>
      </c>
      <c r="H210" s="29"/>
      <c r="I210" s="32" t="str">
        <f aca="false">IF(OR(E210="",F210=""),"",F210*G210-N(H210))</f>
        <v/>
      </c>
      <c r="J210" s="29"/>
      <c r="K210" s="32" t="str">
        <f aca="false">IF(AND(I210="",N(J210)=0),"",N(I210)+N(J210))</f>
        <v/>
      </c>
      <c r="L210" s="32" t="str">
        <f aca="false">IF(OR(E210="",F210=""),"",F210*IFERROR(INDEX(Товары!$C$4:$C$200,MATCH(E210,Товары!$B$4:$B$200,0)),0))</f>
        <v/>
      </c>
      <c r="M210" s="32" t="str">
        <f aca="false">IF(I210="","",I210-L210)</f>
        <v/>
      </c>
      <c r="N210" s="28"/>
      <c r="O210" s="28"/>
      <c r="P210" s="28"/>
      <c r="Q210" s="28"/>
      <c r="R210" s="35"/>
      <c r="S210" s="28"/>
    </row>
    <row r="211" customFormat="false" ht="15" hidden="false" customHeight="false" outlineLevel="0" collapsed="false">
      <c r="A211" s="34" t="str">
        <f aca="false">IF(E211="","",ROW()-3)</f>
        <v/>
      </c>
      <c r="B211" s="35"/>
      <c r="C211" s="28"/>
      <c r="D211" s="28"/>
      <c r="E211" s="28"/>
      <c r="F211" s="28"/>
      <c r="G211" s="32" t="str">
        <f aca="false">IF(E211="","",IFERROR(INDEX(Товары!$D$4:$D$200,MATCH(E211,Товары!$B$4:$B$200,0)),0))</f>
        <v/>
      </c>
      <c r="H211" s="29"/>
      <c r="I211" s="32" t="str">
        <f aca="false">IF(OR(E211="",F211=""),"",F211*G211-N(H211))</f>
        <v/>
      </c>
      <c r="J211" s="29"/>
      <c r="K211" s="32" t="str">
        <f aca="false">IF(AND(I211="",N(J211)=0),"",N(I211)+N(J211))</f>
        <v/>
      </c>
      <c r="L211" s="32" t="str">
        <f aca="false">IF(OR(E211="",F211=""),"",F211*IFERROR(INDEX(Товары!$C$4:$C$200,MATCH(E211,Товары!$B$4:$B$200,0)),0))</f>
        <v/>
      </c>
      <c r="M211" s="32" t="str">
        <f aca="false">IF(I211="","",I211-L211)</f>
        <v/>
      </c>
      <c r="N211" s="28"/>
      <c r="O211" s="28"/>
      <c r="P211" s="28"/>
      <c r="Q211" s="28"/>
      <c r="R211" s="35"/>
      <c r="S211" s="28"/>
    </row>
    <row r="212" customFormat="false" ht="15" hidden="false" customHeight="false" outlineLevel="0" collapsed="false">
      <c r="A212" s="34" t="str">
        <f aca="false">IF(E212="","",ROW()-3)</f>
        <v/>
      </c>
      <c r="B212" s="35"/>
      <c r="C212" s="28"/>
      <c r="D212" s="28"/>
      <c r="E212" s="28"/>
      <c r="F212" s="28"/>
      <c r="G212" s="32" t="str">
        <f aca="false">IF(E212="","",IFERROR(INDEX(Товары!$D$4:$D$200,MATCH(E212,Товары!$B$4:$B$200,0)),0))</f>
        <v/>
      </c>
      <c r="H212" s="29"/>
      <c r="I212" s="32" t="str">
        <f aca="false">IF(OR(E212="",F212=""),"",F212*G212-N(H212))</f>
        <v/>
      </c>
      <c r="J212" s="29"/>
      <c r="K212" s="32" t="str">
        <f aca="false">IF(AND(I212="",N(J212)=0),"",N(I212)+N(J212))</f>
        <v/>
      </c>
      <c r="L212" s="32" t="str">
        <f aca="false">IF(OR(E212="",F212=""),"",F212*IFERROR(INDEX(Товары!$C$4:$C$200,MATCH(E212,Товары!$B$4:$B$200,0)),0))</f>
        <v/>
      </c>
      <c r="M212" s="32" t="str">
        <f aca="false">IF(I212="","",I212-L212)</f>
        <v/>
      </c>
      <c r="N212" s="28"/>
      <c r="O212" s="28"/>
      <c r="P212" s="28"/>
      <c r="Q212" s="28"/>
      <c r="R212" s="35"/>
      <c r="S212" s="28"/>
    </row>
    <row r="213" customFormat="false" ht="15" hidden="false" customHeight="false" outlineLevel="0" collapsed="false">
      <c r="A213" s="34" t="str">
        <f aca="false">IF(E213="","",ROW()-3)</f>
        <v/>
      </c>
      <c r="B213" s="35"/>
      <c r="C213" s="28"/>
      <c r="D213" s="28"/>
      <c r="E213" s="28"/>
      <c r="F213" s="28"/>
      <c r="G213" s="32" t="str">
        <f aca="false">IF(E213="","",IFERROR(INDEX(Товары!$D$4:$D$200,MATCH(E213,Товары!$B$4:$B$200,0)),0))</f>
        <v/>
      </c>
      <c r="H213" s="29"/>
      <c r="I213" s="32" t="str">
        <f aca="false">IF(OR(E213="",F213=""),"",F213*G213-N(H213))</f>
        <v/>
      </c>
      <c r="J213" s="29"/>
      <c r="K213" s="32" t="str">
        <f aca="false">IF(AND(I213="",N(J213)=0),"",N(I213)+N(J213))</f>
        <v/>
      </c>
      <c r="L213" s="32" t="str">
        <f aca="false">IF(OR(E213="",F213=""),"",F213*IFERROR(INDEX(Товары!$C$4:$C$200,MATCH(E213,Товары!$B$4:$B$200,0)),0))</f>
        <v/>
      </c>
      <c r="M213" s="32" t="str">
        <f aca="false">IF(I213="","",I213-L213)</f>
        <v/>
      </c>
      <c r="N213" s="28"/>
      <c r="O213" s="28"/>
      <c r="P213" s="28"/>
      <c r="Q213" s="28"/>
      <c r="R213" s="35"/>
      <c r="S213" s="28"/>
    </row>
    <row r="214" customFormat="false" ht="15" hidden="false" customHeight="false" outlineLevel="0" collapsed="false">
      <c r="A214" s="34" t="str">
        <f aca="false">IF(E214="","",ROW()-3)</f>
        <v/>
      </c>
      <c r="B214" s="35"/>
      <c r="C214" s="28"/>
      <c r="D214" s="28"/>
      <c r="E214" s="28"/>
      <c r="F214" s="28"/>
      <c r="G214" s="32" t="str">
        <f aca="false">IF(E214="","",IFERROR(INDEX(Товары!$D$4:$D$200,MATCH(E214,Товары!$B$4:$B$200,0)),0))</f>
        <v/>
      </c>
      <c r="H214" s="29"/>
      <c r="I214" s="32" t="str">
        <f aca="false">IF(OR(E214="",F214=""),"",F214*G214-N(H214))</f>
        <v/>
      </c>
      <c r="J214" s="29"/>
      <c r="K214" s="32" t="str">
        <f aca="false">IF(AND(I214="",N(J214)=0),"",N(I214)+N(J214))</f>
        <v/>
      </c>
      <c r="L214" s="32" t="str">
        <f aca="false">IF(OR(E214="",F214=""),"",F214*IFERROR(INDEX(Товары!$C$4:$C$200,MATCH(E214,Товары!$B$4:$B$200,0)),0))</f>
        <v/>
      </c>
      <c r="M214" s="32" t="str">
        <f aca="false">IF(I214="","",I214-L214)</f>
        <v/>
      </c>
      <c r="N214" s="28"/>
      <c r="O214" s="28"/>
      <c r="P214" s="28"/>
      <c r="Q214" s="28"/>
      <c r="R214" s="35"/>
      <c r="S214" s="28"/>
    </row>
    <row r="215" customFormat="false" ht="15" hidden="false" customHeight="false" outlineLevel="0" collapsed="false">
      <c r="A215" s="34" t="str">
        <f aca="false">IF(E215="","",ROW()-3)</f>
        <v/>
      </c>
      <c r="B215" s="35"/>
      <c r="C215" s="28"/>
      <c r="D215" s="28"/>
      <c r="E215" s="28"/>
      <c r="F215" s="28"/>
      <c r="G215" s="32" t="str">
        <f aca="false">IF(E215="","",IFERROR(INDEX(Товары!$D$4:$D$200,MATCH(E215,Товары!$B$4:$B$200,0)),0))</f>
        <v/>
      </c>
      <c r="H215" s="29"/>
      <c r="I215" s="32" t="str">
        <f aca="false">IF(OR(E215="",F215=""),"",F215*G215-N(H215))</f>
        <v/>
      </c>
      <c r="J215" s="29"/>
      <c r="K215" s="32" t="str">
        <f aca="false">IF(AND(I215="",N(J215)=0),"",N(I215)+N(J215))</f>
        <v/>
      </c>
      <c r="L215" s="32" t="str">
        <f aca="false">IF(OR(E215="",F215=""),"",F215*IFERROR(INDEX(Товары!$C$4:$C$200,MATCH(E215,Товары!$B$4:$B$200,0)),0))</f>
        <v/>
      </c>
      <c r="M215" s="32" t="str">
        <f aca="false">IF(I215="","",I215-L215)</f>
        <v/>
      </c>
      <c r="N215" s="28"/>
      <c r="O215" s="28"/>
      <c r="P215" s="28"/>
      <c r="Q215" s="28"/>
      <c r="R215" s="35"/>
      <c r="S215" s="28"/>
    </row>
    <row r="216" customFormat="false" ht="15" hidden="false" customHeight="false" outlineLevel="0" collapsed="false">
      <c r="A216" s="34" t="str">
        <f aca="false">IF(E216="","",ROW()-3)</f>
        <v/>
      </c>
      <c r="B216" s="35"/>
      <c r="C216" s="28"/>
      <c r="D216" s="28"/>
      <c r="E216" s="28"/>
      <c r="F216" s="28"/>
      <c r="G216" s="32" t="str">
        <f aca="false">IF(E216="","",IFERROR(INDEX(Товары!$D$4:$D$200,MATCH(E216,Товары!$B$4:$B$200,0)),0))</f>
        <v/>
      </c>
      <c r="H216" s="29"/>
      <c r="I216" s="32" t="str">
        <f aca="false">IF(OR(E216="",F216=""),"",F216*G216-N(H216))</f>
        <v/>
      </c>
      <c r="J216" s="29"/>
      <c r="K216" s="32" t="str">
        <f aca="false">IF(AND(I216="",N(J216)=0),"",N(I216)+N(J216))</f>
        <v/>
      </c>
      <c r="L216" s="32" t="str">
        <f aca="false">IF(OR(E216="",F216=""),"",F216*IFERROR(INDEX(Товары!$C$4:$C$200,MATCH(E216,Товары!$B$4:$B$200,0)),0))</f>
        <v/>
      </c>
      <c r="M216" s="32" t="str">
        <f aca="false">IF(I216="","",I216-L216)</f>
        <v/>
      </c>
      <c r="N216" s="28"/>
      <c r="O216" s="28"/>
      <c r="P216" s="28"/>
      <c r="Q216" s="28"/>
      <c r="R216" s="35"/>
      <c r="S216" s="28"/>
    </row>
    <row r="217" customFormat="false" ht="15" hidden="false" customHeight="false" outlineLevel="0" collapsed="false">
      <c r="A217" s="34" t="str">
        <f aca="false">IF(E217="","",ROW()-3)</f>
        <v/>
      </c>
      <c r="B217" s="35"/>
      <c r="C217" s="28"/>
      <c r="D217" s="28"/>
      <c r="E217" s="28"/>
      <c r="F217" s="28"/>
      <c r="G217" s="32" t="str">
        <f aca="false">IF(E217="","",IFERROR(INDEX(Товары!$D$4:$D$200,MATCH(E217,Товары!$B$4:$B$200,0)),0))</f>
        <v/>
      </c>
      <c r="H217" s="29"/>
      <c r="I217" s="32" t="str">
        <f aca="false">IF(OR(E217="",F217=""),"",F217*G217-N(H217))</f>
        <v/>
      </c>
      <c r="J217" s="29"/>
      <c r="K217" s="32" t="str">
        <f aca="false">IF(AND(I217="",N(J217)=0),"",N(I217)+N(J217))</f>
        <v/>
      </c>
      <c r="L217" s="32" t="str">
        <f aca="false">IF(OR(E217="",F217=""),"",F217*IFERROR(INDEX(Товары!$C$4:$C$200,MATCH(E217,Товары!$B$4:$B$200,0)),0))</f>
        <v/>
      </c>
      <c r="M217" s="32" t="str">
        <f aca="false">IF(I217="","",I217-L217)</f>
        <v/>
      </c>
      <c r="N217" s="28"/>
      <c r="O217" s="28"/>
      <c r="P217" s="28"/>
      <c r="Q217" s="28"/>
      <c r="R217" s="35"/>
      <c r="S217" s="28"/>
    </row>
    <row r="218" customFormat="false" ht="15" hidden="false" customHeight="false" outlineLevel="0" collapsed="false">
      <c r="A218" s="34" t="str">
        <f aca="false">IF(E218="","",ROW()-3)</f>
        <v/>
      </c>
      <c r="B218" s="35"/>
      <c r="C218" s="28"/>
      <c r="D218" s="28"/>
      <c r="E218" s="28"/>
      <c r="F218" s="28"/>
      <c r="G218" s="32" t="str">
        <f aca="false">IF(E218="","",IFERROR(INDEX(Товары!$D$4:$D$200,MATCH(E218,Товары!$B$4:$B$200,0)),0))</f>
        <v/>
      </c>
      <c r="H218" s="29"/>
      <c r="I218" s="32" t="str">
        <f aca="false">IF(OR(E218="",F218=""),"",F218*G218-N(H218))</f>
        <v/>
      </c>
      <c r="J218" s="29"/>
      <c r="K218" s="32" t="str">
        <f aca="false">IF(AND(I218="",N(J218)=0),"",N(I218)+N(J218))</f>
        <v/>
      </c>
      <c r="L218" s="32" t="str">
        <f aca="false">IF(OR(E218="",F218=""),"",F218*IFERROR(INDEX(Товары!$C$4:$C$200,MATCH(E218,Товары!$B$4:$B$200,0)),0))</f>
        <v/>
      </c>
      <c r="M218" s="32" t="str">
        <f aca="false">IF(I218="","",I218-L218)</f>
        <v/>
      </c>
      <c r="N218" s="28"/>
      <c r="O218" s="28"/>
      <c r="P218" s="28"/>
      <c r="Q218" s="28"/>
      <c r="R218" s="35"/>
      <c r="S218" s="28"/>
    </row>
    <row r="219" customFormat="false" ht="15" hidden="false" customHeight="false" outlineLevel="0" collapsed="false">
      <c r="A219" s="34" t="str">
        <f aca="false">IF(E219="","",ROW()-3)</f>
        <v/>
      </c>
      <c r="B219" s="35"/>
      <c r="C219" s="28"/>
      <c r="D219" s="28"/>
      <c r="E219" s="28"/>
      <c r="F219" s="28"/>
      <c r="G219" s="32" t="str">
        <f aca="false">IF(E219="","",IFERROR(INDEX(Товары!$D$4:$D$200,MATCH(E219,Товары!$B$4:$B$200,0)),0))</f>
        <v/>
      </c>
      <c r="H219" s="29"/>
      <c r="I219" s="32" t="str">
        <f aca="false">IF(OR(E219="",F219=""),"",F219*G219-N(H219))</f>
        <v/>
      </c>
      <c r="J219" s="29"/>
      <c r="K219" s="32" t="str">
        <f aca="false">IF(AND(I219="",N(J219)=0),"",N(I219)+N(J219))</f>
        <v/>
      </c>
      <c r="L219" s="32" t="str">
        <f aca="false">IF(OR(E219="",F219=""),"",F219*IFERROR(INDEX(Товары!$C$4:$C$200,MATCH(E219,Товары!$B$4:$B$200,0)),0))</f>
        <v/>
      </c>
      <c r="M219" s="32" t="str">
        <f aca="false">IF(I219="","",I219-L219)</f>
        <v/>
      </c>
      <c r="N219" s="28"/>
      <c r="O219" s="28"/>
      <c r="P219" s="28"/>
      <c r="Q219" s="28"/>
      <c r="R219" s="35"/>
      <c r="S219" s="28"/>
    </row>
    <row r="220" customFormat="false" ht="15" hidden="false" customHeight="false" outlineLevel="0" collapsed="false">
      <c r="A220" s="34" t="str">
        <f aca="false">IF(E220="","",ROW()-3)</f>
        <v/>
      </c>
      <c r="B220" s="35"/>
      <c r="C220" s="28"/>
      <c r="D220" s="28"/>
      <c r="E220" s="28"/>
      <c r="F220" s="28"/>
      <c r="G220" s="32" t="str">
        <f aca="false">IF(E220="","",IFERROR(INDEX(Товары!$D$4:$D$200,MATCH(E220,Товары!$B$4:$B$200,0)),0))</f>
        <v/>
      </c>
      <c r="H220" s="29"/>
      <c r="I220" s="32" t="str">
        <f aca="false">IF(OR(E220="",F220=""),"",F220*G220-N(H220))</f>
        <v/>
      </c>
      <c r="J220" s="29"/>
      <c r="K220" s="32" t="str">
        <f aca="false">IF(AND(I220="",N(J220)=0),"",N(I220)+N(J220))</f>
        <v/>
      </c>
      <c r="L220" s="32" t="str">
        <f aca="false">IF(OR(E220="",F220=""),"",F220*IFERROR(INDEX(Товары!$C$4:$C$200,MATCH(E220,Товары!$B$4:$B$200,0)),0))</f>
        <v/>
      </c>
      <c r="M220" s="32" t="str">
        <f aca="false">IF(I220="","",I220-L220)</f>
        <v/>
      </c>
      <c r="N220" s="28"/>
      <c r="O220" s="28"/>
      <c r="P220" s="28"/>
      <c r="Q220" s="28"/>
      <c r="R220" s="35"/>
      <c r="S220" s="28"/>
    </row>
    <row r="221" customFormat="false" ht="15" hidden="false" customHeight="false" outlineLevel="0" collapsed="false">
      <c r="A221" s="34" t="str">
        <f aca="false">IF(E221="","",ROW()-3)</f>
        <v/>
      </c>
      <c r="B221" s="35"/>
      <c r="C221" s="28"/>
      <c r="D221" s="28"/>
      <c r="E221" s="28"/>
      <c r="F221" s="28"/>
      <c r="G221" s="32" t="str">
        <f aca="false">IF(E221="","",IFERROR(INDEX(Товары!$D$4:$D$200,MATCH(E221,Товары!$B$4:$B$200,0)),0))</f>
        <v/>
      </c>
      <c r="H221" s="29"/>
      <c r="I221" s="32" t="str">
        <f aca="false">IF(OR(E221="",F221=""),"",F221*G221-N(H221))</f>
        <v/>
      </c>
      <c r="J221" s="29"/>
      <c r="K221" s="32" t="str">
        <f aca="false">IF(AND(I221="",N(J221)=0),"",N(I221)+N(J221))</f>
        <v/>
      </c>
      <c r="L221" s="32" t="str">
        <f aca="false">IF(OR(E221="",F221=""),"",F221*IFERROR(INDEX(Товары!$C$4:$C$200,MATCH(E221,Товары!$B$4:$B$200,0)),0))</f>
        <v/>
      </c>
      <c r="M221" s="32" t="str">
        <f aca="false">IF(I221="","",I221-L221)</f>
        <v/>
      </c>
      <c r="N221" s="28"/>
      <c r="O221" s="28"/>
      <c r="P221" s="28"/>
      <c r="Q221" s="28"/>
      <c r="R221" s="35"/>
      <c r="S221" s="28"/>
    </row>
    <row r="222" customFormat="false" ht="15" hidden="false" customHeight="false" outlineLevel="0" collapsed="false">
      <c r="A222" s="34" t="str">
        <f aca="false">IF(E222="","",ROW()-3)</f>
        <v/>
      </c>
      <c r="B222" s="35"/>
      <c r="C222" s="28"/>
      <c r="D222" s="28"/>
      <c r="E222" s="28"/>
      <c r="F222" s="28"/>
      <c r="G222" s="32" t="str">
        <f aca="false">IF(E222="","",IFERROR(INDEX(Товары!$D$4:$D$200,MATCH(E222,Товары!$B$4:$B$200,0)),0))</f>
        <v/>
      </c>
      <c r="H222" s="29"/>
      <c r="I222" s="32" t="str">
        <f aca="false">IF(OR(E222="",F222=""),"",F222*G222-N(H222))</f>
        <v/>
      </c>
      <c r="J222" s="29"/>
      <c r="K222" s="32" t="str">
        <f aca="false">IF(AND(I222="",N(J222)=0),"",N(I222)+N(J222))</f>
        <v/>
      </c>
      <c r="L222" s="32" t="str">
        <f aca="false">IF(OR(E222="",F222=""),"",F222*IFERROR(INDEX(Товары!$C$4:$C$200,MATCH(E222,Товары!$B$4:$B$200,0)),0))</f>
        <v/>
      </c>
      <c r="M222" s="32" t="str">
        <f aca="false">IF(I222="","",I222-L222)</f>
        <v/>
      </c>
      <c r="N222" s="28"/>
      <c r="O222" s="28"/>
      <c r="P222" s="28"/>
      <c r="Q222" s="28"/>
      <c r="R222" s="35"/>
      <c r="S222" s="28"/>
    </row>
    <row r="223" customFormat="false" ht="15" hidden="false" customHeight="false" outlineLevel="0" collapsed="false">
      <c r="A223" s="34" t="str">
        <f aca="false">IF(E223="","",ROW()-3)</f>
        <v/>
      </c>
      <c r="B223" s="35"/>
      <c r="C223" s="28"/>
      <c r="D223" s="28"/>
      <c r="E223" s="28"/>
      <c r="F223" s="28"/>
      <c r="G223" s="32" t="str">
        <f aca="false">IF(E223="","",IFERROR(INDEX(Товары!$D$4:$D$200,MATCH(E223,Товары!$B$4:$B$200,0)),0))</f>
        <v/>
      </c>
      <c r="H223" s="29"/>
      <c r="I223" s="32" t="str">
        <f aca="false">IF(OR(E223="",F223=""),"",F223*G223-N(H223))</f>
        <v/>
      </c>
      <c r="J223" s="29"/>
      <c r="K223" s="32" t="str">
        <f aca="false">IF(AND(I223="",N(J223)=0),"",N(I223)+N(J223))</f>
        <v/>
      </c>
      <c r="L223" s="32" t="str">
        <f aca="false">IF(OR(E223="",F223=""),"",F223*IFERROR(INDEX(Товары!$C$4:$C$200,MATCH(E223,Товары!$B$4:$B$200,0)),0))</f>
        <v/>
      </c>
      <c r="M223" s="32" t="str">
        <f aca="false">IF(I223="","",I223-L223)</f>
        <v/>
      </c>
      <c r="N223" s="28"/>
      <c r="O223" s="28"/>
      <c r="P223" s="28"/>
      <c r="Q223" s="28"/>
      <c r="R223" s="35"/>
      <c r="S223" s="28"/>
    </row>
    <row r="224" customFormat="false" ht="15" hidden="false" customHeight="false" outlineLevel="0" collapsed="false">
      <c r="A224" s="34" t="str">
        <f aca="false">IF(E224="","",ROW()-3)</f>
        <v/>
      </c>
      <c r="B224" s="35"/>
      <c r="C224" s="28"/>
      <c r="D224" s="28"/>
      <c r="E224" s="28"/>
      <c r="F224" s="28"/>
      <c r="G224" s="32" t="str">
        <f aca="false">IF(E224="","",IFERROR(INDEX(Товары!$D$4:$D$200,MATCH(E224,Товары!$B$4:$B$200,0)),0))</f>
        <v/>
      </c>
      <c r="H224" s="29"/>
      <c r="I224" s="32" t="str">
        <f aca="false">IF(OR(E224="",F224=""),"",F224*G224-N(H224))</f>
        <v/>
      </c>
      <c r="J224" s="29"/>
      <c r="K224" s="32" t="str">
        <f aca="false">IF(AND(I224="",N(J224)=0),"",N(I224)+N(J224))</f>
        <v/>
      </c>
      <c r="L224" s="32" t="str">
        <f aca="false">IF(OR(E224="",F224=""),"",F224*IFERROR(INDEX(Товары!$C$4:$C$200,MATCH(E224,Товары!$B$4:$B$200,0)),0))</f>
        <v/>
      </c>
      <c r="M224" s="32" t="str">
        <f aca="false">IF(I224="","",I224-L224)</f>
        <v/>
      </c>
      <c r="N224" s="28"/>
      <c r="O224" s="28"/>
      <c r="P224" s="28"/>
      <c r="Q224" s="28"/>
      <c r="R224" s="35"/>
      <c r="S224" s="28"/>
    </row>
    <row r="225" customFormat="false" ht="15" hidden="false" customHeight="false" outlineLevel="0" collapsed="false">
      <c r="A225" s="34" t="str">
        <f aca="false">IF(E225="","",ROW()-3)</f>
        <v/>
      </c>
      <c r="B225" s="35"/>
      <c r="C225" s="28"/>
      <c r="D225" s="28"/>
      <c r="E225" s="28"/>
      <c r="F225" s="28"/>
      <c r="G225" s="32" t="str">
        <f aca="false">IF(E225="","",IFERROR(INDEX(Товары!$D$4:$D$200,MATCH(E225,Товары!$B$4:$B$200,0)),0))</f>
        <v/>
      </c>
      <c r="H225" s="29"/>
      <c r="I225" s="32" t="str">
        <f aca="false">IF(OR(E225="",F225=""),"",F225*G225-N(H225))</f>
        <v/>
      </c>
      <c r="J225" s="29"/>
      <c r="K225" s="32" t="str">
        <f aca="false">IF(AND(I225="",N(J225)=0),"",N(I225)+N(J225))</f>
        <v/>
      </c>
      <c r="L225" s="32" t="str">
        <f aca="false">IF(OR(E225="",F225=""),"",F225*IFERROR(INDEX(Товары!$C$4:$C$200,MATCH(E225,Товары!$B$4:$B$200,0)),0))</f>
        <v/>
      </c>
      <c r="M225" s="32" t="str">
        <f aca="false">IF(I225="","",I225-L225)</f>
        <v/>
      </c>
      <c r="N225" s="28"/>
      <c r="O225" s="28"/>
      <c r="P225" s="28"/>
      <c r="Q225" s="28"/>
      <c r="R225" s="35"/>
      <c r="S225" s="28"/>
    </row>
    <row r="226" customFormat="false" ht="15" hidden="false" customHeight="false" outlineLevel="0" collapsed="false">
      <c r="A226" s="34" t="str">
        <f aca="false">IF(E226="","",ROW()-3)</f>
        <v/>
      </c>
      <c r="B226" s="35"/>
      <c r="C226" s="28"/>
      <c r="D226" s="28"/>
      <c r="E226" s="28"/>
      <c r="F226" s="28"/>
      <c r="G226" s="32" t="str">
        <f aca="false">IF(E226="","",IFERROR(INDEX(Товары!$D$4:$D$200,MATCH(E226,Товары!$B$4:$B$200,0)),0))</f>
        <v/>
      </c>
      <c r="H226" s="29"/>
      <c r="I226" s="32" t="str">
        <f aca="false">IF(OR(E226="",F226=""),"",F226*G226-N(H226))</f>
        <v/>
      </c>
      <c r="J226" s="29"/>
      <c r="K226" s="32" t="str">
        <f aca="false">IF(AND(I226="",N(J226)=0),"",N(I226)+N(J226))</f>
        <v/>
      </c>
      <c r="L226" s="32" t="str">
        <f aca="false">IF(OR(E226="",F226=""),"",F226*IFERROR(INDEX(Товары!$C$4:$C$200,MATCH(E226,Товары!$B$4:$B$200,0)),0))</f>
        <v/>
      </c>
      <c r="M226" s="32" t="str">
        <f aca="false">IF(I226="","",I226-L226)</f>
        <v/>
      </c>
      <c r="N226" s="28"/>
      <c r="O226" s="28"/>
      <c r="P226" s="28"/>
      <c r="Q226" s="28"/>
      <c r="R226" s="35"/>
      <c r="S226" s="28"/>
    </row>
    <row r="227" customFormat="false" ht="15" hidden="false" customHeight="false" outlineLevel="0" collapsed="false">
      <c r="A227" s="34" t="str">
        <f aca="false">IF(E227="","",ROW()-3)</f>
        <v/>
      </c>
      <c r="B227" s="35"/>
      <c r="C227" s="28"/>
      <c r="D227" s="28"/>
      <c r="E227" s="28"/>
      <c r="F227" s="28"/>
      <c r="G227" s="32" t="str">
        <f aca="false">IF(E227="","",IFERROR(INDEX(Товары!$D$4:$D$200,MATCH(E227,Товары!$B$4:$B$200,0)),0))</f>
        <v/>
      </c>
      <c r="H227" s="29"/>
      <c r="I227" s="32" t="str">
        <f aca="false">IF(OR(E227="",F227=""),"",F227*G227-N(H227))</f>
        <v/>
      </c>
      <c r="J227" s="29"/>
      <c r="K227" s="32" t="str">
        <f aca="false">IF(AND(I227="",N(J227)=0),"",N(I227)+N(J227))</f>
        <v/>
      </c>
      <c r="L227" s="32" t="str">
        <f aca="false">IF(OR(E227="",F227=""),"",F227*IFERROR(INDEX(Товары!$C$4:$C$200,MATCH(E227,Товары!$B$4:$B$200,0)),0))</f>
        <v/>
      </c>
      <c r="M227" s="32" t="str">
        <f aca="false">IF(I227="","",I227-L227)</f>
        <v/>
      </c>
      <c r="N227" s="28"/>
      <c r="O227" s="28"/>
      <c r="P227" s="28"/>
      <c r="Q227" s="28"/>
      <c r="R227" s="35"/>
      <c r="S227" s="28"/>
    </row>
    <row r="228" customFormat="false" ht="15" hidden="false" customHeight="false" outlineLevel="0" collapsed="false">
      <c r="A228" s="34" t="str">
        <f aca="false">IF(E228="","",ROW()-3)</f>
        <v/>
      </c>
      <c r="B228" s="35"/>
      <c r="C228" s="28"/>
      <c r="D228" s="28"/>
      <c r="E228" s="28"/>
      <c r="F228" s="28"/>
      <c r="G228" s="32" t="str">
        <f aca="false">IF(E228="","",IFERROR(INDEX(Товары!$D$4:$D$200,MATCH(E228,Товары!$B$4:$B$200,0)),0))</f>
        <v/>
      </c>
      <c r="H228" s="29"/>
      <c r="I228" s="32" t="str">
        <f aca="false">IF(OR(E228="",F228=""),"",F228*G228-N(H228))</f>
        <v/>
      </c>
      <c r="J228" s="29"/>
      <c r="K228" s="32" t="str">
        <f aca="false">IF(AND(I228="",N(J228)=0),"",N(I228)+N(J228))</f>
        <v/>
      </c>
      <c r="L228" s="32" t="str">
        <f aca="false">IF(OR(E228="",F228=""),"",F228*IFERROR(INDEX(Товары!$C$4:$C$200,MATCH(E228,Товары!$B$4:$B$200,0)),0))</f>
        <v/>
      </c>
      <c r="M228" s="32" t="str">
        <f aca="false">IF(I228="","",I228-L228)</f>
        <v/>
      </c>
      <c r="N228" s="28"/>
      <c r="O228" s="28"/>
      <c r="P228" s="28"/>
      <c r="Q228" s="28"/>
      <c r="R228" s="35"/>
      <c r="S228" s="28"/>
    </row>
    <row r="229" customFormat="false" ht="15" hidden="false" customHeight="false" outlineLevel="0" collapsed="false">
      <c r="A229" s="34" t="str">
        <f aca="false">IF(E229="","",ROW()-3)</f>
        <v/>
      </c>
      <c r="B229" s="35"/>
      <c r="C229" s="28"/>
      <c r="D229" s="28"/>
      <c r="E229" s="28"/>
      <c r="F229" s="28"/>
      <c r="G229" s="32" t="str">
        <f aca="false">IF(E229="","",IFERROR(INDEX(Товары!$D$4:$D$200,MATCH(E229,Товары!$B$4:$B$200,0)),0))</f>
        <v/>
      </c>
      <c r="H229" s="29"/>
      <c r="I229" s="32" t="str">
        <f aca="false">IF(OR(E229="",F229=""),"",F229*G229-N(H229))</f>
        <v/>
      </c>
      <c r="J229" s="29"/>
      <c r="K229" s="32" t="str">
        <f aca="false">IF(AND(I229="",N(J229)=0),"",N(I229)+N(J229))</f>
        <v/>
      </c>
      <c r="L229" s="32" t="str">
        <f aca="false">IF(OR(E229="",F229=""),"",F229*IFERROR(INDEX(Товары!$C$4:$C$200,MATCH(E229,Товары!$B$4:$B$200,0)),0))</f>
        <v/>
      </c>
      <c r="M229" s="32" t="str">
        <f aca="false">IF(I229="","",I229-L229)</f>
        <v/>
      </c>
      <c r="N229" s="28"/>
      <c r="O229" s="28"/>
      <c r="P229" s="28"/>
      <c r="Q229" s="28"/>
      <c r="R229" s="35"/>
      <c r="S229" s="28"/>
    </row>
    <row r="230" customFormat="false" ht="15" hidden="false" customHeight="false" outlineLevel="0" collapsed="false">
      <c r="A230" s="34" t="str">
        <f aca="false">IF(E230="","",ROW()-3)</f>
        <v/>
      </c>
      <c r="B230" s="35"/>
      <c r="C230" s="28"/>
      <c r="D230" s="28"/>
      <c r="E230" s="28"/>
      <c r="F230" s="28"/>
      <c r="G230" s="32" t="str">
        <f aca="false">IF(E230="","",IFERROR(INDEX(Товары!$D$4:$D$200,MATCH(E230,Товары!$B$4:$B$200,0)),0))</f>
        <v/>
      </c>
      <c r="H230" s="29"/>
      <c r="I230" s="32" t="str">
        <f aca="false">IF(OR(E230="",F230=""),"",F230*G230-N(H230))</f>
        <v/>
      </c>
      <c r="J230" s="29"/>
      <c r="K230" s="32" t="str">
        <f aca="false">IF(AND(I230="",N(J230)=0),"",N(I230)+N(J230))</f>
        <v/>
      </c>
      <c r="L230" s="32" t="str">
        <f aca="false">IF(OR(E230="",F230=""),"",F230*IFERROR(INDEX(Товары!$C$4:$C$200,MATCH(E230,Товары!$B$4:$B$200,0)),0))</f>
        <v/>
      </c>
      <c r="M230" s="32" t="str">
        <f aca="false">IF(I230="","",I230-L230)</f>
        <v/>
      </c>
      <c r="N230" s="28"/>
      <c r="O230" s="28"/>
      <c r="P230" s="28"/>
      <c r="Q230" s="28"/>
      <c r="R230" s="35"/>
      <c r="S230" s="28"/>
    </row>
    <row r="231" customFormat="false" ht="15" hidden="false" customHeight="false" outlineLevel="0" collapsed="false">
      <c r="A231" s="34" t="str">
        <f aca="false">IF(E231="","",ROW()-3)</f>
        <v/>
      </c>
      <c r="B231" s="35"/>
      <c r="C231" s="28"/>
      <c r="D231" s="28"/>
      <c r="E231" s="28"/>
      <c r="F231" s="28"/>
      <c r="G231" s="32" t="str">
        <f aca="false">IF(E231="","",IFERROR(INDEX(Товары!$D$4:$D$200,MATCH(E231,Товары!$B$4:$B$200,0)),0))</f>
        <v/>
      </c>
      <c r="H231" s="29"/>
      <c r="I231" s="32" t="str">
        <f aca="false">IF(OR(E231="",F231=""),"",F231*G231-N(H231))</f>
        <v/>
      </c>
      <c r="J231" s="29"/>
      <c r="K231" s="32" t="str">
        <f aca="false">IF(AND(I231="",N(J231)=0),"",N(I231)+N(J231))</f>
        <v/>
      </c>
      <c r="L231" s="32" t="str">
        <f aca="false">IF(OR(E231="",F231=""),"",F231*IFERROR(INDEX(Товары!$C$4:$C$200,MATCH(E231,Товары!$B$4:$B$200,0)),0))</f>
        <v/>
      </c>
      <c r="M231" s="32" t="str">
        <f aca="false">IF(I231="","",I231-L231)</f>
        <v/>
      </c>
      <c r="N231" s="28"/>
      <c r="O231" s="28"/>
      <c r="P231" s="28"/>
      <c r="Q231" s="28"/>
      <c r="R231" s="35"/>
      <c r="S231" s="28"/>
    </row>
    <row r="232" customFormat="false" ht="15" hidden="false" customHeight="false" outlineLevel="0" collapsed="false">
      <c r="A232" s="34" t="str">
        <f aca="false">IF(E232="","",ROW()-3)</f>
        <v/>
      </c>
      <c r="B232" s="35"/>
      <c r="C232" s="28"/>
      <c r="D232" s="28"/>
      <c r="E232" s="28"/>
      <c r="F232" s="28"/>
      <c r="G232" s="32" t="str">
        <f aca="false">IF(E232="","",IFERROR(INDEX(Товары!$D$4:$D$200,MATCH(E232,Товары!$B$4:$B$200,0)),0))</f>
        <v/>
      </c>
      <c r="H232" s="29"/>
      <c r="I232" s="32" t="str">
        <f aca="false">IF(OR(E232="",F232=""),"",F232*G232-N(H232))</f>
        <v/>
      </c>
      <c r="J232" s="29"/>
      <c r="K232" s="32" t="str">
        <f aca="false">IF(AND(I232="",N(J232)=0),"",N(I232)+N(J232))</f>
        <v/>
      </c>
      <c r="L232" s="32" t="str">
        <f aca="false">IF(OR(E232="",F232=""),"",F232*IFERROR(INDEX(Товары!$C$4:$C$200,MATCH(E232,Товары!$B$4:$B$200,0)),0))</f>
        <v/>
      </c>
      <c r="M232" s="32" t="str">
        <f aca="false">IF(I232="","",I232-L232)</f>
        <v/>
      </c>
      <c r="N232" s="28"/>
      <c r="O232" s="28"/>
      <c r="P232" s="28"/>
      <c r="Q232" s="28"/>
      <c r="R232" s="35"/>
      <c r="S232" s="28"/>
    </row>
    <row r="233" customFormat="false" ht="15" hidden="false" customHeight="false" outlineLevel="0" collapsed="false">
      <c r="A233" s="34" t="str">
        <f aca="false">IF(E233="","",ROW()-3)</f>
        <v/>
      </c>
      <c r="B233" s="35"/>
      <c r="C233" s="28"/>
      <c r="D233" s="28"/>
      <c r="E233" s="28"/>
      <c r="F233" s="28"/>
      <c r="G233" s="32" t="str">
        <f aca="false">IF(E233="","",IFERROR(INDEX(Товары!$D$4:$D$200,MATCH(E233,Товары!$B$4:$B$200,0)),0))</f>
        <v/>
      </c>
      <c r="H233" s="29"/>
      <c r="I233" s="32" t="str">
        <f aca="false">IF(OR(E233="",F233=""),"",F233*G233-N(H233))</f>
        <v/>
      </c>
      <c r="J233" s="29"/>
      <c r="K233" s="32" t="str">
        <f aca="false">IF(AND(I233="",N(J233)=0),"",N(I233)+N(J233))</f>
        <v/>
      </c>
      <c r="L233" s="32" t="str">
        <f aca="false">IF(OR(E233="",F233=""),"",F233*IFERROR(INDEX(Товары!$C$4:$C$200,MATCH(E233,Товары!$B$4:$B$200,0)),0))</f>
        <v/>
      </c>
      <c r="M233" s="32" t="str">
        <f aca="false">IF(I233="","",I233-L233)</f>
        <v/>
      </c>
      <c r="N233" s="28"/>
      <c r="O233" s="28"/>
      <c r="P233" s="28"/>
      <c r="Q233" s="28"/>
      <c r="R233" s="35"/>
      <c r="S233" s="28"/>
    </row>
    <row r="234" customFormat="false" ht="15" hidden="false" customHeight="false" outlineLevel="0" collapsed="false">
      <c r="A234" s="34" t="str">
        <f aca="false">IF(E234="","",ROW()-3)</f>
        <v/>
      </c>
      <c r="B234" s="35"/>
      <c r="C234" s="28"/>
      <c r="D234" s="28"/>
      <c r="E234" s="28"/>
      <c r="F234" s="28"/>
      <c r="G234" s="32" t="str">
        <f aca="false">IF(E234="","",IFERROR(INDEX(Товары!$D$4:$D$200,MATCH(E234,Товары!$B$4:$B$200,0)),0))</f>
        <v/>
      </c>
      <c r="H234" s="29"/>
      <c r="I234" s="32" t="str">
        <f aca="false">IF(OR(E234="",F234=""),"",F234*G234-N(H234))</f>
        <v/>
      </c>
      <c r="J234" s="29"/>
      <c r="K234" s="32" t="str">
        <f aca="false">IF(AND(I234="",N(J234)=0),"",N(I234)+N(J234))</f>
        <v/>
      </c>
      <c r="L234" s="32" t="str">
        <f aca="false">IF(OR(E234="",F234=""),"",F234*IFERROR(INDEX(Товары!$C$4:$C$200,MATCH(E234,Товары!$B$4:$B$200,0)),0))</f>
        <v/>
      </c>
      <c r="M234" s="32" t="str">
        <f aca="false">IF(I234="","",I234-L234)</f>
        <v/>
      </c>
      <c r="N234" s="28"/>
      <c r="O234" s="28"/>
      <c r="P234" s="28"/>
      <c r="Q234" s="28"/>
      <c r="R234" s="35"/>
      <c r="S234" s="28"/>
    </row>
    <row r="235" customFormat="false" ht="15" hidden="false" customHeight="false" outlineLevel="0" collapsed="false">
      <c r="A235" s="34" t="str">
        <f aca="false">IF(E235="","",ROW()-3)</f>
        <v/>
      </c>
      <c r="B235" s="35"/>
      <c r="C235" s="28"/>
      <c r="D235" s="28"/>
      <c r="E235" s="28"/>
      <c r="F235" s="28"/>
      <c r="G235" s="32" t="str">
        <f aca="false">IF(E235="","",IFERROR(INDEX(Товары!$D$4:$D$200,MATCH(E235,Товары!$B$4:$B$200,0)),0))</f>
        <v/>
      </c>
      <c r="H235" s="29"/>
      <c r="I235" s="32" t="str">
        <f aca="false">IF(OR(E235="",F235=""),"",F235*G235-N(H235))</f>
        <v/>
      </c>
      <c r="J235" s="29"/>
      <c r="K235" s="32" t="str">
        <f aca="false">IF(AND(I235="",N(J235)=0),"",N(I235)+N(J235))</f>
        <v/>
      </c>
      <c r="L235" s="32" t="str">
        <f aca="false">IF(OR(E235="",F235=""),"",F235*IFERROR(INDEX(Товары!$C$4:$C$200,MATCH(E235,Товары!$B$4:$B$200,0)),0))</f>
        <v/>
      </c>
      <c r="M235" s="32" t="str">
        <f aca="false">IF(I235="","",I235-L235)</f>
        <v/>
      </c>
      <c r="N235" s="28"/>
      <c r="O235" s="28"/>
      <c r="P235" s="28"/>
      <c r="Q235" s="28"/>
      <c r="R235" s="35"/>
      <c r="S235" s="28"/>
    </row>
    <row r="236" customFormat="false" ht="15" hidden="false" customHeight="false" outlineLevel="0" collapsed="false">
      <c r="A236" s="34" t="str">
        <f aca="false">IF(E236="","",ROW()-3)</f>
        <v/>
      </c>
      <c r="B236" s="35"/>
      <c r="C236" s="28"/>
      <c r="D236" s="28"/>
      <c r="E236" s="28"/>
      <c r="F236" s="28"/>
      <c r="G236" s="32" t="str">
        <f aca="false">IF(E236="","",IFERROR(INDEX(Товары!$D$4:$D$200,MATCH(E236,Товары!$B$4:$B$200,0)),0))</f>
        <v/>
      </c>
      <c r="H236" s="29"/>
      <c r="I236" s="32" t="str">
        <f aca="false">IF(OR(E236="",F236=""),"",F236*G236-N(H236))</f>
        <v/>
      </c>
      <c r="J236" s="29"/>
      <c r="K236" s="32" t="str">
        <f aca="false">IF(AND(I236="",N(J236)=0),"",N(I236)+N(J236))</f>
        <v/>
      </c>
      <c r="L236" s="32" t="str">
        <f aca="false">IF(OR(E236="",F236=""),"",F236*IFERROR(INDEX(Товары!$C$4:$C$200,MATCH(E236,Товары!$B$4:$B$200,0)),0))</f>
        <v/>
      </c>
      <c r="M236" s="32" t="str">
        <f aca="false">IF(I236="","",I236-L236)</f>
        <v/>
      </c>
      <c r="N236" s="28"/>
      <c r="O236" s="28"/>
      <c r="P236" s="28"/>
      <c r="Q236" s="28"/>
      <c r="R236" s="35"/>
      <c r="S236" s="28"/>
    </row>
    <row r="237" customFormat="false" ht="15" hidden="false" customHeight="false" outlineLevel="0" collapsed="false">
      <c r="A237" s="34" t="str">
        <f aca="false">IF(E237="","",ROW()-3)</f>
        <v/>
      </c>
      <c r="B237" s="35"/>
      <c r="C237" s="28"/>
      <c r="D237" s="28"/>
      <c r="E237" s="28"/>
      <c r="F237" s="28"/>
      <c r="G237" s="32" t="str">
        <f aca="false">IF(E237="","",IFERROR(INDEX(Товары!$D$4:$D$200,MATCH(E237,Товары!$B$4:$B$200,0)),0))</f>
        <v/>
      </c>
      <c r="H237" s="29"/>
      <c r="I237" s="32" t="str">
        <f aca="false">IF(OR(E237="",F237=""),"",F237*G237-N(H237))</f>
        <v/>
      </c>
      <c r="J237" s="29"/>
      <c r="K237" s="32" t="str">
        <f aca="false">IF(AND(I237="",N(J237)=0),"",N(I237)+N(J237))</f>
        <v/>
      </c>
      <c r="L237" s="32" t="str">
        <f aca="false">IF(OR(E237="",F237=""),"",F237*IFERROR(INDEX(Товары!$C$4:$C$200,MATCH(E237,Товары!$B$4:$B$200,0)),0))</f>
        <v/>
      </c>
      <c r="M237" s="32" t="str">
        <f aca="false">IF(I237="","",I237-L237)</f>
        <v/>
      </c>
      <c r="N237" s="28"/>
      <c r="O237" s="28"/>
      <c r="P237" s="28"/>
      <c r="Q237" s="28"/>
      <c r="R237" s="35"/>
      <c r="S237" s="28"/>
    </row>
    <row r="238" customFormat="false" ht="15" hidden="false" customHeight="false" outlineLevel="0" collapsed="false">
      <c r="A238" s="34" t="str">
        <f aca="false">IF(E238="","",ROW()-3)</f>
        <v/>
      </c>
      <c r="B238" s="35"/>
      <c r="C238" s="28"/>
      <c r="D238" s="28"/>
      <c r="E238" s="28"/>
      <c r="F238" s="28"/>
      <c r="G238" s="32" t="str">
        <f aca="false">IF(E238="","",IFERROR(INDEX(Товары!$D$4:$D$200,MATCH(E238,Товары!$B$4:$B$200,0)),0))</f>
        <v/>
      </c>
      <c r="H238" s="29"/>
      <c r="I238" s="32" t="str">
        <f aca="false">IF(OR(E238="",F238=""),"",F238*G238-N(H238))</f>
        <v/>
      </c>
      <c r="J238" s="29"/>
      <c r="K238" s="32" t="str">
        <f aca="false">IF(AND(I238="",N(J238)=0),"",N(I238)+N(J238))</f>
        <v/>
      </c>
      <c r="L238" s="32" t="str">
        <f aca="false">IF(OR(E238="",F238=""),"",F238*IFERROR(INDEX(Товары!$C$4:$C$200,MATCH(E238,Товары!$B$4:$B$200,0)),0))</f>
        <v/>
      </c>
      <c r="M238" s="32" t="str">
        <f aca="false">IF(I238="","",I238-L238)</f>
        <v/>
      </c>
      <c r="N238" s="28"/>
      <c r="O238" s="28"/>
      <c r="P238" s="28"/>
      <c r="Q238" s="28"/>
      <c r="R238" s="35"/>
      <c r="S238" s="28"/>
    </row>
    <row r="239" customFormat="false" ht="15" hidden="false" customHeight="false" outlineLevel="0" collapsed="false">
      <c r="A239" s="34" t="str">
        <f aca="false">IF(E239="","",ROW()-3)</f>
        <v/>
      </c>
      <c r="B239" s="35"/>
      <c r="C239" s="28"/>
      <c r="D239" s="28"/>
      <c r="E239" s="28"/>
      <c r="F239" s="28"/>
      <c r="G239" s="32" t="str">
        <f aca="false">IF(E239="","",IFERROR(INDEX(Товары!$D$4:$D$200,MATCH(E239,Товары!$B$4:$B$200,0)),0))</f>
        <v/>
      </c>
      <c r="H239" s="29"/>
      <c r="I239" s="32" t="str">
        <f aca="false">IF(OR(E239="",F239=""),"",F239*G239-N(H239))</f>
        <v/>
      </c>
      <c r="J239" s="29"/>
      <c r="K239" s="32" t="str">
        <f aca="false">IF(AND(I239="",N(J239)=0),"",N(I239)+N(J239))</f>
        <v/>
      </c>
      <c r="L239" s="32" t="str">
        <f aca="false">IF(OR(E239="",F239=""),"",F239*IFERROR(INDEX(Товары!$C$4:$C$200,MATCH(E239,Товары!$B$4:$B$200,0)),0))</f>
        <v/>
      </c>
      <c r="M239" s="32" t="str">
        <f aca="false">IF(I239="","",I239-L239)</f>
        <v/>
      </c>
      <c r="N239" s="28"/>
      <c r="O239" s="28"/>
      <c r="P239" s="28"/>
      <c r="Q239" s="28"/>
      <c r="R239" s="35"/>
      <c r="S239" s="28"/>
    </row>
    <row r="240" customFormat="false" ht="15" hidden="false" customHeight="false" outlineLevel="0" collapsed="false">
      <c r="A240" s="34" t="str">
        <f aca="false">IF(E240="","",ROW()-3)</f>
        <v/>
      </c>
      <c r="B240" s="35"/>
      <c r="C240" s="28"/>
      <c r="D240" s="28"/>
      <c r="E240" s="28"/>
      <c r="F240" s="28"/>
      <c r="G240" s="32" t="str">
        <f aca="false">IF(E240="","",IFERROR(INDEX(Товары!$D$4:$D$200,MATCH(E240,Товары!$B$4:$B$200,0)),0))</f>
        <v/>
      </c>
      <c r="H240" s="29"/>
      <c r="I240" s="32" t="str">
        <f aca="false">IF(OR(E240="",F240=""),"",F240*G240-N(H240))</f>
        <v/>
      </c>
      <c r="J240" s="29"/>
      <c r="K240" s="32" t="str">
        <f aca="false">IF(AND(I240="",N(J240)=0),"",N(I240)+N(J240))</f>
        <v/>
      </c>
      <c r="L240" s="32" t="str">
        <f aca="false">IF(OR(E240="",F240=""),"",F240*IFERROR(INDEX(Товары!$C$4:$C$200,MATCH(E240,Товары!$B$4:$B$200,0)),0))</f>
        <v/>
      </c>
      <c r="M240" s="32" t="str">
        <f aca="false">IF(I240="","",I240-L240)</f>
        <v/>
      </c>
      <c r="N240" s="28"/>
      <c r="O240" s="28"/>
      <c r="P240" s="28"/>
      <c r="Q240" s="28"/>
      <c r="R240" s="35"/>
      <c r="S240" s="28"/>
    </row>
    <row r="241" customFormat="false" ht="15" hidden="false" customHeight="false" outlineLevel="0" collapsed="false">
      <c r="A241" s="34" t="str">
        <f aca="false">IF(E241="","",ROW()-3)</f>
        <v/>
      </c>
      <c r="B241" s="35"/>
      <c r="C241" s="28"/>
      <c r="D241" s="28"/>
      <c r="E241" s="28"/>
      <c r="F241" s="28"/>
      <c r="G241" s="32" t="str">
        <f aca="false">IF(E241="","",IFERROR(INDEX(Товары!$D$4:$D$200,MATCH(E241,Товары!$B$4:$B$200,0)),0))</f>
        <v/>
      </c>
      <c r="H241" s="29"/>
      <c r="I241" s="32" t="str">
        <f aca="false">IF(OR(E241="",F241=""),"",F241*G241-N(H241))</f>
        <v/>
      </c>
      <c r="J241" s="29"/>
      <c r="K241" s="32" t="str">
        <f aca="false">IF(AND(I241="",N(J241)=0),"",N(I241)+N(J241))</f>
        <v/>
      </c>
      <c r="L241" s="32" t="str">
        <f aca="false">IF(OR(E241="",F241=""),"",F241*IFERROR(INDEX(Товары!$C$4:$C$200,MATCH(E241,Товары!$B$4:$B$200,0)),0))</f>
        <v/>
      </c>
      <c r="M241" s="32" t="str">
        <f aca="false">IF(I241="","",I241-L241)</f>
        <v/>
      </c>
      <c r="N241" s="28"/>
      <c r="O241" s="28"/>
      <c r="P241" s="28"/>
      <c r="Q241" s="28"/>
      <c r="R241" s="35"/>
      <c r="S241" s="28"/>
    </row>
    <row r="242" customFormat="false" ht="15" hidden="false" customHeight="false" outlineLevel="0" collapsed="false">
      <c r="A242" s="34" t="str">
        <f aca="false">IF(E242="","",ROW()-3)</f>
        <v/>
      </c>
      <c r="B242" s="35"/>
      <c r="C242" s="28"/>
      <c r="D242" s="28"/>
      <c r="E242" s="28"/>
      <c r="F242" s="28"/>
      <c r="G242" s="32" t="str">
        <f aca="false">IF(E242="","",IFERROR(INDEX(Товары!$D$4:$D$200,MATCH(E242,Товары!$B$4:$B$200,0)),0))</f>
        <v/>
      </c>
      <c r="H242" s="29"/>
      <c r="I242" s="32" t="str">
        <f aca="false">IF(OR(E242="",F242=""),"",F242*G242-N(H242))</f>
        <v/>
      </c>
      <c r="J242" s="29"/>
      <c r="K242" s="32" t="str">
        <f aca="false">IF(AND(I242="",N(J242)=0),"",N(I242)+N(J242))</f>
        <v/>
      </c>
      <c r="L242" s="32" t="str">
        <f aca="false">IF(OR(E242="",F242=""),"",F242*IFERROR(INDEX(Товары!$C$4:$C$200,MATCH(E242,Товары!$B$4:$B$200,0)),0))</f>
        <v/>
      </c>
      <c r="M242" s="32" t="str">
        <f aca="false">IF(I242="","",I242-L242)</f>
        <v/>
      </c>
      <c r="N242" s="28"/>
      <c r="O242" s="28"/>
      <c r="P242" s="28"/>
      <c r="Q242" s="28"/>
      <c r="R242" s="35"/>
      <c r="S242" s="28"/>
    </row>
    <row r="243" customFormat="false" ht="15" hidden="false" customHeight="false" outlineLevel="0" collapsed="false">
      <c r="A243" s="34" t="str">
        <f aca="false">IF(E243="","",ROW()-3)</f>
        <v/>
      </c>
      <c r="B243" s="35"/>
      <c r="C243" s="28"/>
      <c r="D243" s="28"/>
      <c r="E243" s="28"/>
      <c r="F243" s="28"/>
      <c r="G243" s="32" t="str">
        <f aca="false">IF(E243="","",IFERROR(INDEX(Товары!$D$4:$D$200,MATCH(E243,Товары!$B$4:$B$200,0)),0))</f>
        <v/>
      </c>
      <c r="H243" s="29"/>
      <c r="I243" s="32" t="str">
        <f aca="false">IF(OR(E243="",F243=""),"",F243*G243-N(H243))</f>
        <v/>
      </c>
      <c r="J243" s="29"/>
      <c r="K243" s="32" t="str">
        <f aca="false">IF(AND(I243="",N(J243)=0),"",N(I243)+N(J243))</f>
        <v/>
      </c>
      <c r="L243" s="32" t="str">
        <f aca="false">IF(OR(E243="",F243=""),"",F243*IFERROR(INDEX(Товары!$C$4:$C$200,MATCH(E243,Товары!$B$4:$B$200,0)),0))</f>
        <v/>
      </c>
      <c r="M243" s="32" t="str">
        <f aca="false">IF(I243="","",I243-L243)</f>
        <v/>
      </c>
      <c r="N243" s="28"/>
      <c r="O243" s="28"/>
      <c r="P243" s="28"/>
      <c r="Q243" s="28"/>
      <c r="R243" s="35"/>
      <c r="S243" s="28"/>
    </row>
    <row r="244" customFormat="false" ht="15" hidden="false" customHeight="false" outlineLevel="0" collapsed="false">
      <c r="A244" s="34" t="str">
        <f aca="false">IF(E244="","",ROW()-3)</f>
        <v/>
      </c>
      <c r="B244" s="35"/>
      <c r="C244" s="28"/>
      <c r="D244" s="28"/>
      <c r="E244" s="28"/>
      <c r="F244" s="28"/>
      <c r="G244" s="32" t="str">
        <f aca="false">IF(E244="","",IFERROR(INDEX(Товары!$D$4:$D$200,MATCH(E244,Товары!$B$4:$B$200,0)),0))</f>
        <v/>
      </c>
      <c r="H244" s="29"/>
      <c r="I244" s="32" t="str">
        <f aca="false">IF(OR(E244="",F244=""),"",F244*G244-N(H244))</f>
        <v/>
      </c>
      <c r="J244" s="29"/>
      <c r="K244" s="32" t="str">
        <f aca="false">IF(AND(I244="",N(J244)=0),"",N(I244)+N(J244))</f>
        <v/>
      </c>
      <c r="L244" s="32" t="str">
        <f aca="false">IF(OR(E244="",F244=""),"",F244*IFERROR(INDEX(Товары!$C$4:$C$200,MATCH(E244,Товары!$B$4:$B$200,0)),0))</f>
        <v/>
      </c>
      <c r="M244" s="32" t="str">
        <f aca="false">IF(I244="","",I244-L244)</f>
        <v/>
      </c>
      <c r="N244" s="28"/>
      <c r="O244" s="28"/>
      <c r="P244" s="28"/>
      <c r="Q244" s="28"/>
      <c r="R244" s="35"/>
      <c r="S244" s="28"/>
    </row>
    <row r="245" customFormat="false" ht="15" hidden="false" customHeight="false" outlineLevel="0" collapsed="false">
      <c r="A245" s="34" t="str">
        <f aca="false">IF(E245="","",ROW()-3)</f>
        <v/>
      </c>
      <c r="B245" s="35"/>
      <c r="C245" s="28"/>
      <c r="D245" s="28"/>
      <c r="E245" s="28"/>
      <c r="F245" s="28"/>
      <c r="G245" s="32" t="str">
        <f aca="false">IF(E245="","",IFERROR(INDEX(Товары!$D$4:$D$200,MATCH(E245,Товары!$B$4:$B$200,0)),0))</f>
        <v/>
      </c>
      <c r="H245" s="29"/>
      <c r="I245" s="32" t="str">
        <f aca="false">IF(OR(E245="",F245=""),"",F245*G245-N(H245))</f>
        <v/>
      </c>
      <c r="J245" s="29"/>
      <c r="K245" s="32" t="str">
        <f aca="false">IF(AND(I245="",N(J245)=0),"",N(I245)+N(J245))</f>
        <v/>
      </c>
      <c r="L245" s="32" t="str">
        <f aca="false">IF(OR(E245="",F245=""),"",F245*IFERROR(INDEX(Товары!$C$4:$C$200,MATCH(E245,Товары!$B$4:$B$200,0)),0))</f>
        <v/>
      </c>
      <c r="M245" s="32" t="str">
        <f aca="false">IF(I245="","",I245-L245)</f>
        <v/>
      </c>
      <c r="N245" s="28"/>
      <c r="O245" s="28"/>
      <c r="P245" s="28"/>
      <c r="Q245" s="28"/>
      <c r="R245" s="35"/>
      <c r="S245" s="28"/>
    </row>
    <row r="246" customFormat="false" ht="15" hidden="false" customHeight="false" outlineLevel="0" collapsed="false">
      <c r="A246" s="34" t="str">
        <f aca="false">IF(E246="","",ROW()-3)</f>
        <v/>
      </c>
      <c r="B246" s="35"/>
      <c r="C246" s="28"/>
      <c r="D246" s="28"/>
      <c r="E246" s="28"/>
      <c r="F246" s="28"/>
      <c r="G246" s="32" t="str">
        <f aca="false">IF(E246="","",IFERROR(INDEX(Товары!$D$4:$D$200,MATCH(E246,Товары!$B$4:$B$200,0)),0))</f>
        <v/>
      </c>
      <c r="H246" s="29"/>
      <c r="I246" s="32" t="str">
        <f aca="false">IF(OR(E246="",F246=""),"",F246*G246-N(H246))</f>
        <v/>
      </c>
      <c r="J246" s="29"/>
      <c r="K246" s="32" t="str">
        <f aca="false">IF(AND(I246="",N(J246)=0),"",N(I246)+N(J246))</f>
        <v/>
      </c>
      <c r="L246" s="32" t="str">
        <f aca="false">IF(OR(E246="",F246=""),"",F246*IFERROR(INDEX(Товары!$C$4:$C$200,MATCH(E246,Товары!$B$4:$B$200,0)),0))</f>
        <v/>
      </c>
      <c r="M246" s="32" t="str">
        <f aca="false">IF(I246="","",I246-L246)</f>
        <v/>
      </c>
      <c r="N246" s="28"/>
      <c r="O246" s="28"/>
      <c r="P246" s="28"/>
      <c r="Q246" s="28"/>
      <c r="R246" s="35"/>
      <c r="S246" s="28"/>
    </row>
    <row r="247" customFormat="false" ht="15" hidden="false" customHeight="false" outlineLevel="0" collapsed="false">
      <c r="A247" s="34" t="str">
        <f aca="false">IF(E247="","",ROW()-3)</f>
        <v/>
      </c>
      <c r="B247" s="35"/>
      <c r="C247" s="28"/>
      <c r="D247" s="28"/>
      <c r="E247" s="28"/>
      <c r="F247" s="28"/>
      <c r="G247" s="32" t="str">
        <f aca="false">IF(E247="","",IFERROR(INDEX(Товары!$D$4:$D$200,MATCH(E247,Товары!$B$4:$B$200,0)),0))</f>
        <v/>
      </c>
      <c r="H247" s="29"/>
      <c r="I247" s="32" t="str">
        <f aca="false">IF(OR(E247="",F247=""),"",F247*G247-N(H247))</f>
        <v/>
      </c>
      <c r="J247" s="29"/>
      <c r="K247" s="32" t="str">
        <f aca="false">IF(AND(I247="",N(J247)=0),"",N(I247)+N(J247))</f>
        <v/>
      </c>
      <c r="L247" s="32" t="str">
        <f aca="false">IF(OR(E247="",F247=""),"",F247*IFERROR(INDEX(Товары!$C$4:$C$200,MATCH(E247,Товары!$B$4:$B$200,0)),0))</f>
        <v/>
      </c>
      <c r="M247" s="32" t="str">
        <f aca="false">IF(I247="","",I247-L247)</f>
        <v/>
      </c>
      <c r="N247" s="28"/>
      <c r="O247" s="28"/>
      <c r="P247" s="28"/>
      <c r="Q247" s="28"/>
      <c r="R247" s="35"/>
      <c r="S247" s="28"/>
    </row>
    <row r="248" customFormat="false" ht="15" hidden="false" customHeight="false" outlineLevel="0" collapsed="false">
      <c r="A248" s="34" t="str">
        <f aca="false">IF(E248="","",ROW()-3)</f>
        <v/>
      </c>
      <c r="B248" s="35"/>
      <c r="C248" s="28"/>
      <c r="D248" s="28"/>
      <c r="E248" s="28"/>
      <c r="F248" s="28"/>
      <c r="G248" s="32" t="str">
        <f aca="false">IF(E248="","",IFERROR(INDEX(Товары!$D$4:$D$200,MATCH(E248,Товары!$B$4:$B$200,0)),0))</f>
        <v/>
      </c>
      <c r="H248" s="29"/>
      <c r="I248" s="32" t="str">
        <f aca="false">IF(OR(E248="",F248=""),"",F248*G248-N(H248))</f>
        <v/>
      </c>
      <c r="J248" s="29"/>
      <c r="K248" s="32" t="str">
        <f aca="false">IF(AND(I248="",N(J248)=0),"",N(I248)+N(J248))</f>
        <v/>
      </c>
      <c r="L248" s="32" t="str">
        <f aca="false">IF(OR(E248="",F248=""),"",F248*IFERROR(INDEX(Товары!$C$4:$C$200,MATCH(E248,Товары!$B$4:$B$200,0)),0))</f>
        <v/>
      </c>
      <c r="M248" s="32" t="str">
        <f aca="false">IF(I248="","",I248-L248)</f>
        <v/>
      </c>
      <c r="N248" s="28"/>
      <c r="O248" s="28"/>
      <c r="P248" s="28"/>
      <c r="Q248" s="28"/>
      <c r="R248" s="35"/>
      <c r="S248" s="28"/>
    </row>
    <row r="249" customFormat="false" ht="15" hidden="false" customHeight="false" outlineLevel="0" collapsed="false">
      <c r="A249" s="34" t="str">
        <f aca="false">IF(E249="","",ROW()-3)</f>
        <v/>
      </c>
      <c r="B249" s="35"/>
      <c r="C249" s="28"/>
      <c r="D249" s="28"/>
      <c r="E249" s="28"/>
      <c r="F249" s="28"/>
      <c r="G249" s="32" t="str">
        <f aca="false">IF(E249="","",IFERROR(INDEX(Товары!$D$4:$D$200,MATCH(E249,Товары!$B$4:$B$200,0)),0))</f>
        <v/>
      </c>
      <c r="H249" s="29"/>
      <c r="I249" s="32" t="str">
        <f aca="false">IF(OR(E249="",F249=""),"",F249*G249-N(H249))</f>
        <v/>
      </c>
      <c r="J249" s="29"/>
      <c r="K249" s="32" t="str">
        <f aca="false">IF(AND(I249="",N(J249)=0),"",N(I249)+N(J249))</f>
        <v/>
      </c>
      <c r="L249" s="32" t="str">
        <f aca="false">IF(OR(E249="",F249=""),"",F249*IFERROR(INDEX(Товары!$C$4:$C$200,MATCH(E249,Товары!$B$4:$B$200,0)),0))</f>
        <v/>
      </c>
      <c r="M249" s="32" t="str">
        <f aca="false">IF(I249="","",I249-L249)</f>
        <v/>
      </c>
      <c r="N249" s="28"/>
      <c r="O249" s="28"/>
      <c r="P249" s="28"/>
      <c r="Q249" s="28"/>
      <c r="R249" s="35"/>
      <c r="S249" s="28"/>
    </row>
    <row r="250" customFormat="false" ht="15" hidden="false" customHeight="false" outlineLevel="0" collapsed="false">
      <c r="A250" s="34" t="str">
        <f aca="false">IF(E250="","",ROW()-3)</f>
        <v/>
      </c>
      <c r="B250" s="35"/>
      <c r="C250" s="28"/>
      <c r="D250" s="28"/>
      <c r="E250" s="28"/>
      <c r="F250" s="28"/>
      <c r="G250" s="32" t="str">
        <f aca="false">IF(E250="","",IFERROR(INDEX(Товары!$D$4:$D$200,MATCH(E250,Товары!$B$4:$B$200,0)),0))</f>
        <v/>
      </c>
      <c r="H250" s="29"/>
      <c r="I250" s="32" t="str">
        <f aca="false">IF(OR(E250="",F250=""),"",F250*G250-N(H250))</f>
        <v/>
      </c>
      <c r="J250" s="29"/>
      <c r="K250" s="32" t="str">
        <f aca="false">IF(AND(I250="",N(J250)=0),"",N(I250)+N(J250))</f>
        <v/>
      </c>
      <c r="L250" s="32" t="str">
        <f aca="false">IF(OR(E250="",F250=""),"",F250*IFERROR(INDEX(Товары!$C$4:$C$200,MATCH(E250,Товары!$B$4:$B$200,0)),0))</f>
        <v/>
      </c>
      <c r="M250" s="32" t="str">
        <f aca="false">IF(I250="","",I250-L250)</f>
        <v/>
      </c>
      <c r="N250" s="28"/>
      <c r="O250" s="28"/>
      <c r="P250" s="28"/>
      <c r="Q250" s="28"/>
      <c r="R250" s="35"/>
      <c r="S250" s="28"/>
    </row>
    <row r="251" customFormat="false" ht="15" hidden="false" customHeight="false" outlineLevel="0" collapsed="false">
      <c r="A251" s="34" t="str">
        <f aca="false">IF(E251="","",ROW()-3)</f>
        <v/>
      </c>
      <c r="B251" s="35"/>
      <c r="C251" s="28"/>
      <c r="D251" s="28"/>
      <c r="E251" s="28"/>
      <c r="F251" s="28"/>
      <c r="G251" s="32" t="str">
        <f aca="false">IF(E251="","",IFERROR(INDEX(Товары!$D$4:$D$200,MATCH(E251,Товары!$B$4:$B$200,0)),0))</f>
        <v/>
      </c>
      <c r="H251" s="29"/>
      <c r="I251" s="32" t="str">
        <f aca="false">IF(OR(E251="",F251=""),"",F251*G251-N(H251))</f>
        <v/>
      </c>
      <c r="J251" s="29"/>
      <c r="K251" s="32" t="str">
        <f aca="false">IF(AND(I251="",N(J251)=0),"",N(I251)+N(J251))</f>
        <v/>
      </c>
      <c r="L251" s="32" t="str">
        <f aca="false">IF(OR(E251="",F251=""),"",F251*IFERROR(INDEX(Товары!$C$4:$C$200,MATCH(E251,Товары!$B$4:$B$200,0)),0))</f>
        <v/>
      </c>
      <c r="M251" s="32" t="str">
        <f aca="false">IF(I251="","",I251-L251)</f>
        <v/>
      </c>
      <c r="N251" s="28"/>
      <c r="O251" s="28"/>
      <c r="P251" s="28"/>
      <c r="Q251" s="28"/>
      <c r="R251" s="35"/>
      <c r="S251" s="28"/>
    </row>
    <row r="252" customFormat="false" ht="15" hidden="false" customHeight="false" outlineLevel="0" collapsed="false">
      <c r="A252" s="34" t="str">
        <f aca="false">IF(E252="","",ROW()-3)</f>
        <v/>
      </c>
      <c r="B252" s="35"/>
      <c r="C252" s="28"/>
      <c r="D252" s="28"/>
      <c r="E252" s="28"/>
      <c r="F252" s="28"/>
      <c r="G252" s="32" t="str">
        <f aca="false">IF(E252="","",IFERROR(INDEX(Товары!$D$4:$D$200,MATCH(E252,Товары!$B$4:$B$200,0)),0))</f>
        <v/>
      </c>
      <c r="H252" s="29"/>
      <c r="I252" s="32" t="str">
        <f aca="false">IF(OR(E252="",F252=""),"",F252*G252-N(H252))</f>
        <v/>
      </c>
      <c r="J252" s="29"/>
      <c r="K252" s="32" t="str">
        <f aca="false">IF(AND(I252="",N(J252)=0),"",N(I252)+N(J252))</f>
        <v/>
      </c>
      <c r="L252" s="32" t="str">
        <f aca="false">IF(OR(E252="",F252=""),"",F252*IFERROR(INDEX(Товары!$C$4:$C$200,MATCH(E252,Товары!$B$4:$B$200,0)),0))</f>
        <v/>
      </c>
      <c r="M252" s="32" t="str">
        <f aca="false">IF(I252="","",I252-L252)</f>
        <v/>
      </c>
      <c r="N252" s="28"/>
      <c r="O252" s="28"/>
      <c r="P252" s="28"/>
      <c r="Q252" s="28"/>
      <c r="R252" s="35"/>
      <c r="S252" s="28"/>
    </row>
    <row r="253" customFormat="false" ht="15" hidden="false" customHeight="false" outlineLevel="0" collapsed="false">
      <c r="A253" s="34" t="str">
        <f aca="false">IF(E253="","",ROW()-3)</f>
        <v/>
      </c>
      <c r="B253" s="35"/>
      <c r="C253" s="28"/>
      <c r="D253" s="28"/>
      <c r="E253" s="28"/>
      <c r="F253" s="28"/>
      <c r="G253" s="32" t="str">
        <f aca="false">IF(E253="","",IFERROR(INDEX(Товары!$D$4:$D$200,MATCH(E253,Товары!$B$4:$B$200,0)),0))</f>
        <v/>
      </c>
      <c r="H253" s="29"/>
      <c r="I253" s="32" t="str">
        <f aca="false">IF(OR(E253="",F253=""),"",F253*G253-N(H253))</f>
        <v/>
      </c>
      <c r="J253" s="29"/>
      <c r="K253" s="32" t="str">
        <f aca="false">IF(AND(I253="",N(J253)=0),"",N(I253)+N(J253))</f>
        <v/>
      </c>
      <c r="L253" s="32" t="str">
        <f aca="false">IF(OR(E253="",F253=""),"",F253*IFERROR(INDEX(Товары!$C$4:$C$200,MATCH(E253,Товары!$B$4:$B$200,0)),0))</f>
        <v/>
      </c>
      <c r="M253" s="32" t="str">
        <f aca="false">IF(I253="","",I253-L253)</f>
        <v/>
      </c>
      <c r="N253" s="28"/>
      <c r="O253" s="28"/>
      <c r="P253" s="28"/>
      <c r="Q253" s="28"/>
      <c r="R253" s="35"/>
      <c r="S253" s="28"/>
    </row>
    <row r="254" customFormat="false" ht="15" hidden="false" customHeight="false" outlineLevel="0" collapsed="false">
      <c r="A254" s="34" t="str">
        <f aca="false">IF(E254="","",ROW()-3)</f>
        <v/>
      </c>
      <c r="B254" s="35"/>
      <c r="C254" s="28"/>
      <c r="D254" s="28"/>
      <c r="E254" s="28"/>
      <c r="F254" s="28"/>
      <c r="G254" s="32" t="str">
        <f aca="false">IF(E254="","",IFERROR(INDEX(Товары!$D$4:$D$200,MATCH(E254,Товары!$B$4:$B$200,0)),0))</f>
        <v/>
      </c>
      <c r="H254" s="29"/>
      <c r="I254" s="32" t="str">
        <f aca="false">IF(OR(E254="",F254=""),"",F254*G254-N(H254))</f>
        <v/>
      </c>
      <c r="J254" s="29"/>
      <c r="K254" s="32" t="str">
        <f aca="false">IF(AND(I254="",N(J254)=0),"",N(I254)+N(J254))</f>
        <v/>
      </c>
      <c r="L254" s="32" t="str">
        <f aca="false">IF(OR(E254="",F254=""),"",F254*IFERROR(INDEX(Товары!$C$4:$C$200,MATCH(E254,Товары!$B$4:$B$200,0)),0))</f>
        <v/>
      </c>
      <c r="M254" s="32" t="str">
        <f aca="false">IF(I254="","",I254-L254)</f>
        <v/>
      </c>
      <c r="N254" s="28"/>
      <c r="O254" s="28"/>
      <c r="P254" s="28"/>
      <c r="Q254" s="28"/>
      <c r="R254" s="35"/>
      <c r="S254" s="28"/>
    </row>
    <row r="255" customFormat="false" ht="15" hidden="false" customHeight="false" outlineLevel="0" collapsed="false">
      <c r="A255" s="34" t="str">
        <f aca="false">IF(E255="","",ROW()-3)</f>
        <v/>
      </c>
      <c r="B255" s="35"/>
      <c r="C255" s="28"/>
      <c r="D255" s="28"/>
      <c r="E255" s="28"/>
      <c r="F255" s="28"/>
      <c r="G255" s="32" t="str">
        <f aca="false">IF(E255="","",IFERROR(INDEX(Товары!$D$4:$D$200,MATCH(E255,Товары!$B$4:$B$200,0)),0))</f>
        <v/>
      </c>
      <c r="H255" s="29"/>
      <c r="I255" s="32" t="str">
        <f aca="false">IF(OR(E255="",F255=""),"",F255*G255-N(H255))</f>
        <v/>
      </c>
      <c r="J255" s="29"/>
      <c r="K255" s="32" t="str">
        <f aca="false">IF(AND(I255="",N(J255)=0),"",N(I255)+N(J255))</f>
        <v/>
      </c>
      <c r="L255" s="32" t="str">
        <f aca="false">IF(OR(E255="",F255=""),"",F255*IFERROR(INDEX(Товары!$C$4:$C$200,MATCH(E255,Товары!$B$4:$B$200,0)),0))</f>
        <v/>
      </c>
      <c r="M255" s="32" t="str">
        <f aca="false">IF(I255="","",I255-L255)</f>
        <v/>
      </c>
      <c r="N255" s="28"/>
      <c r="O255" s="28"/>
      <c r="P255" s="28"/>
      <c r="Q255" s="28"/>
      <c r="R255" s="35"/>
      <c r="S255" s="28"/>
    </row>
    <row r="256" customFormat="false" ht="15" hidden="false" customHeight="false" outlineLevel="0" collapsed="false">
      <c r="A256" s="34" t="str">
        <f aca="false">IF(E256="","",ROW()-3)</f>
        <v/>
      </c>
      <c r="B256" s="35"/>
      <c r="C256" s="28"/>
      <c r="D256" s="28"/>
      <c r="E256" s="28"/>
      <c r="F256" s="28"/>
      <c r="G256" s="32" t="str">
        <f aca="false">IF(E256="","",IFERROR(INDEX(Товары!$D$4:$D$200,MATCH(E256,Товары!$B$4:$B$200,0)),0))</f>
        <v/>
      </c>
      <c r="H256" s="29"/>
      <c r="I256" s="32" t="str">
        <f aca="false">IF(OR(E256="",F256=""),"",F256*G256-N(H256))</f>
        <v/>
      </c>
      <c r="J256" s="29"/>
      <c r="K256" s="32" t="str">
        <f aca="false">IF(AND(I256="",N(J256)=0),"",N(I256)+N(J256))</f>
        <v/>
      </c>
      <c r="L256" s="32" t="str">
        <f aca="false">IF(OR(E256="",F256=""),"",F256*IFERROR(INDEX(Товары!$C$4:$C$200,MATCH(E256,Товары!$B$4:$B$200,0)),0))</f>
        <v/>
      </c>
      <c r="M256" s="32" t="str">
        <f aca="false">IF(I256="","",I256-L256)</f>
        <v/>
      </c>
      <c r="N256" s="28"/>
      <c r="O256" s="28"/>
      <c r="P256" s="28"/>
      <c r="Q256" s="28"/>
      <c r="R256" s="35"/>
      <c r="S256" s="28"/>
    </row>
    <row r="257" customFormat="false" ht="15" hidden="false" customHeight="false" outlineLevel="0" collapsed="false">
      <c r="A257" s="34" t="str">
        <f aca="false">IF(E257="","",ROW()-3)</f>
        <v/>
      </c>
      <c r="B257" s="35"/>
      <c r="C257" s="28"/>
      <c r="D257" s="28"/>
      <c r="E257" s="28"/>
      <c r="F257" s="28"/>
      <c r="G257" s="32" t="str">
        <f aca="false">IF(E257="","",IFERROR(INDEX(Товары!$D$4:$D$200,MATCH(E257,Товары!$B$4:$B$200,0)),0))</f>
        <v/>
      </c>
      <c r="H257" s="29"/>
      <c r="I257" s="32" t="str">
        <f aca="false">IF(OR(E257="",F257=""),"",F257*G257-N(H257))</f>
        <v/>
      </c>
      <c r="J257" s="29"/>
      <c r="K257" s="32" t="str">
        <f aca="false">IF(AND(I257="",N(J257)=0),"",N(I257)+N(J257))</f>
        <v/>
      </c>
      <c r="L257" s="32" t="str">
        <f aca="false">IF(OR(E257="",F257=""),"",F257*IFERROR(INDEX(Товары!$C$4:$C$200,MATCH(E257,Товары!$B$4:$B$200,0)),0))</f>
        <v/>
      </c>
      <c r="M257" s="32" t="str">
        <f aca="false">IF(I257="","",I257-L257)</f>
        <v/>
      </c>
      <c r="N257" s="28"/>
      <c r="O257" s="28"/>
      <c r="P257" s="28"/>
      <c r="Q257" s="28"/>
      <c r="R257" s="35"/>
      <c r="S257" s="28"/>
    </row>
    <row r="258" customFormat="false" ht="15" hidden="false" customHeight="false" outlineLevel="0" collapsed="false">
      <c r="A258" s="34" t="str">
        <f aca="false">IF(E258="","",ROW()-3)</f>
        <v/>
      </c>
      <c r="B258" s="35"/>
      <c r="C258" s="28"/>
      <c r="D258" s="28"/>
      <c r="E258" s="28"/>
      <c r="F258" s="28"/>
      <c r="G258" s="32" t="str">
        <f aca="false">IF(E258="","",IFERROR(INDEX(Товары!$D$4:$D$200,MATCH(E258,Товары!$B$4:$B$200,0)),0))</f>
        <v/>
      </c>
      <c r="H258" s="29"/>
      <c r="I258" s="32" t="str">
        <f aca="false">IF(OR(E258="",F258=""),"",F258*G258-N(H258))</f>
        <v/>
      </c>
      <c r="J258" s="29"/>
      <c r="K258" s="32" t="str">
        <f aca="false">IF(AND(I258="",N(J258)=0),"",N(I258)+N(J258))</f>
        <v/>
      </c>
      <c r="L258" s="32" t="str">
        <f aca="false">IF(OR(E258="",F258=""),"",F258*IFERROR(INDEX(Товары!$C$4:$C$200,MATCH(E258,Товары!$B$4:$B$200,0)),0))</f>
        <v/>
      </c>
      <c r="M258" s="32" t="str">
        <f aca="false">IF(I258="","",I258-L258)</f>
        <v/>
      </c>
      <c r="N258" s="28"/>
      <c r="O258" s="28"/>
      <c r="P258" s="28"/>
      <c r="Q258" s="28"/>
      <c r="R258" s="35"/>
      <c r="S258" s="28"/>
    </row>
    <row r="259" customFormat="false" ht="15" hidden="false" customHeight="false" outlineLevel="0" collapsed="false">
      <c r="A259" s="34" t="str">
        <f aca="false">IF(E259="","",ROW()-3)</f>
        <v/>
      </c>
      <c r="B259" s="35"/>
      <c r="C259" s="28"/>
      <c r="D259" s="28"/>
      <c r="E259" s="28"/>
      <c r="F259" s="28"/>
      <c r="G259" s="32" t="str">
        <f aca="false">IF(E259="","",IFERROR(INDEX(Товары!$D$4:$D$200,MATCH(E259,Товары!$B$4:$B$200,0)),0))</f>
        <v/>
      </c>
      <c r="H259" s="29"/>
      <c r="I259" s="32" t="str">
        <f aca="false">IF(OR(E259="",F259=""),"",F259*G259-N(H259))</f>
        <v/>
      </c>
      <c r="J259" s="29"/>
      <c r="K259" s="32" t="str">
        <f aca="false">IF(AND(I259="",N(J259)=0),"",N(I259)+N(J259))</f>
        <v/>
      </c>
      <c r="L259" s="32" t="str">
        <f aca="false">IF(OR(E259="",F259=""),"",F259*IFERROR(INDEX(Товары!$C$4:$C$200,MATCH(E259,Товары!$B$4:$B$200,0)),0))</f>
        <v/>
      </c>
      <c r="M259" s="32" t="str">
        <f aca="false">IF(I259="","",I259-L259)</f>
        <v/>
      </c>
      <c r="N259" s="28"/>
      <c r="O259" s="28"/>
      <c r="P259" s="28"/>
      <c r="Q259" s="28"/>
      <c r="R259" s="35"/>
      <c r="S259" s="28"/>
    </row>
    <row r="260" customFormat="false" ht="15" hidden="false" customHeight="false" outlineLevel="0" collapsed="false">
      <c r="A260" s="34" t="str">
        <f aca="false">IF(E260="","",ROW()-3)</f>
        <v/>
      </c>
      <c r="B260" s="35"/>
      <c r="C260" s="28"/>
      <c r="D260" s="28"/>
      <c r="E260" s="28"/>
      <c r="F260" s="28"/>
      <c r="G260" s="32" t="str">
        <f aca="false">IF(E260="","",IFERROR(INDEX(Товары!$D$4:$D$200,MATCH(E260,Товары!$B$4:$B$200,0)),0))</f>
        <v/>
      </c>
      <c r="H260" s="29"/>
      <c r="I260" s="32" t="str">
        <f aca="false">IF(OR(E260="",F260=""),"",F260*G260-N(H260))</f>
        <v/>
      </c>
      <c r="J260" s="29"/>
      <c r="K260" s="32" t="str">
        <f aca="false">IF(AND(I260="",N(J260)=0),"",N(I260)+N(J260))</f>
        <v/>
      </c>
      <c r="L260" s="32" t="str">
        <f aca="false">IF(OR(E260="",F260=""),"",F260*IFERROR(INDEX(Товары!$C$4:$C$200,MATCH(E260,Товары!$B$4:$B$200,0)),0))</f>
        <v/>
      </c>
      <c r="M260" s="32" t="str">
        <f aca="false">IF(I260="","",I260-L260)</f>
        <v/>
      </c>
      <c r="N260" s="28"/>
      <c r="O260" s="28"/>
      <c r="P260" s="28"/>
      <c r="Q260" s="28"/>
      <c r="R260" s="35"/>
      <c r="S260" s="28"/>
    </row>
    <row r="261" customFormat="false" ht="15" hidden="false" customHeight="false" outlineLevel="0" collapsed="false">
      <c r="A261" s="34" t="str">
        <f aca="false">IF(E261="","",ROW()-3)</f>
        <v/>
      </c>
      <c r="B261" s="35"/>
      <c r="C261" s="28"/>
      <c r="D261" s="28"/>
      <c r="E261" s="28"/>
      <c r="F261" s="28"/>
      <c r="G261" s="32" t="str">
        <f aca="false">IF(E261="","",IFERROR(INDEX(Товары!$D$4:$D$200,MATCH(E261,Товары!$B$4:$B$200,0)),0))</f>
        <v/>
      </c>
      <c r="H261" s="29"/>
      <c r="I261" s="32" t="str">
        <f aca="false">IF(OR(E261="",F261=""),"",F261*G261-N(H261))</f>
        <v/>
      </c>
      <c r="J261" s="29"/>
      <c r="K261" s="32" t="str">
        <f aca="false">IF(AND(I261="",N(J261)=0),"",N(I261)+N(J261))</f>
        <v/>
      </c>
      <c r="L261" s="32" t="str">
        <f aca="false">IF(OR(E261="",F261=""),"",F261*IFERROR(INDEX(Товары!$C$4:$C$200,MATCH(E261,Товары!$B$4:$B$200,0)),0))</f>
        <v/>
      </c>
      <c r="M261" s="32" t="str">
        <f aca="false">IF(I261="","",I261-L261)</f>
        <v/>
      </c>
      <c r="N261" s="28"/>
      <c r="O261" s="28"/>
      <c r="P261" s="28"/>
      <c r="Q261" s="28"/>
      <c r="R261" s="35"/>
      <c r="S261" s="28"/>
    </row>
    <row r="262" customFormat="false" ht="15" hidden="false" customHeight="false" outlineLevel="0" collapsed="false">
      <c r="A262" s="34" t="str">
        <f aca="false">IF(E262="","",ROW()-3)</f>
        <v/>
      </c>
      <c r="B262" s="35"/>
      <c r="C262" s="28"/>
      <c r="D262" s="28"/>
      <c r="E262" s="28"/>
      <c r="F262" s="28"/>
      <c r="G262" s="32" t="str">
        <f aca="false">IF(E262="","",IFERROR(INDEX(Товары!$D$4:$D$200,MATCH(E262,Товары!$B$4:$B$200,0)),0))</f>
        <v/>
      </c>
      <c r="H262" s="29"/>
      <c r="I262" s="32" t="str">
        <f aca="false">IF(OR(E262="",F262=""),"",F262*G262-N(H262))</f>
        <v/>
      </c>
      <c r="J262" s="29"/>
      <c r="K262" s="32" t="str">
        <f aca="false">IF(AND(I262="",N(J262)=0),"",N(I262)+N(J262))</f>
        <v/>
      </c>
      <c r="L262" s="32" t="str">
        <f aca="false">IF(OR(E262="",F262=""),"",F262*IFERROR(INDEX(Товары!$C$4:$C$200,MATCH(E262,Товары!$B$4:$B$200,0)),0))</f>
        <v/>
      </c>
      <c r="M262" s="32" t="str">
        <f aca="false">IF(I262="","",I262-L262)</f>
        <v/>
      </c>
      <c r="N262" s="28"/>
      <c r="O262" s="28"/>
      <c r="P262" s="28"/>
      <c r="Q262" s="28"/>
      <c r="R262" s="35"/>
      <c r="S262" s="28"/>
    </row>
    <row r="263" customFormat="false" ht="15" hidden="false" customHeight="false" outlineLevel="0" collapsed="false">
      <c r="A263" s="34" t="str">
        <f aca="false">IF(E263="","",ROW()-3)</f>
        <v/>
      </c>
      <c r="B263" s="35"/>
      <c r="C263" s="28"/>
      <c r="D263" s="28"/>
      <c r="E263" s="28"/>
      <c r="F263" s="28"/>
      <c r="G263" s="32" t="str">
        <f aca="false">IF(E263="","",IFERROR(INDEX(Товары!$D$4:$D$200,MATCH(E263,Товары!$B$4:$B$200,0)),0))</f>
        <v/>
      </c>
      <c r="H263" s="29"/>
      <c r="I263" s="32" t="str">
        <f aca="false">IF(OR(E263="",F263=""),"",F263*G263-N(H263))</f>
        <v/>
      </c>
      <c r="J263" s="29"/>
      <c r="K263" s="32" t="str">
        <f aca="false">IF(AND(I263="",N(J263)=0),"",N(I263)+N(J263))</f>
        <v/>
      </c>
      <c r="L263" s="32" t="str">
        <f aca="false">IF(OR(E263="",F263=""),"",F263*IFERROR(INDEX(Товары!$C$4:$C$200,MATCH(E263,Товары!$B$4:$B$200,0)),0))</f>
        <v/>
      </c>
      <c r="M263" s="32" t="str">
        <f aca="false">IF(I263="","",I263-L263)</f>
        <v/>
      </c>
      <c r="N263" s="28"/>
      <c r="O263" s="28"/>
      <c r="P263" s="28"/>
      <c r="Q263" s="28"/>
      <c r="R263" s="35"/>
      <c r="S263" s="28"/>
    </row>
    <row r="264" customFormat="false" ht="15" hidden="false" customHeight="false" outlineLevel="0" collapsed="false">
      <c r="A264" s="34" t="str">
        <f aca="false">IF(E264="","",ROW()-3)</f>
        <v/>
      </c>
      <c r="B264" s="35"/>
      <c r="C264" s="28"/>
      <c r="D264" s="28"/>
      <c r="E264" s="28"/>
      <c r="F264" s="28"/>
      <c r="G264" s="32" t="str">
        <f aca="false">IF(E264="","",IFERROR(INDEX(Товары!$D$4:$D$200,MATCH(E264,Товары!$B$4:$B$200,0)),0))</f>
        <v/>
      </c>
      <c r="H264" s="29"/>
      <c r="I264" s="32" t="str">
        <f aca="false">IF(OR(E264="",F264=""),"",F264*G264-N(H264))</f>
        <v/>
      </c>
      <c r="J264" s="29"/>
      <c r="K264" s="32" t="str">
        <f aca="false">IF(AND(I264="",N(J264)=0),"",N(I264)+N(J264))</f>
        <v/>
      </c>
      <c r="L264" s="32" t="str">
        <f aca="false">IF(OR(E264="",F264=""),"",F264*IFERROR(INDEX(Товары!$C$4:$C$200,MATCH(E264,Товары!$B$4:$B$200,0)),0))</f>
        <v/>
      </c>
      <c r="M264" s="32" t="str">
        <f aca="false">IF(I264="","",I264-L264)</f>
        <v/>
      </c>
      <c r="N264" s="28"/>
      <c r="O264" s="28"/>
      <c r="P264" s="28"/>
      <c r="Q264" s="28"/>
      <c r="R264" s="35"/>
      <c r="S264" s="28"/>
    </row>
    <row r="265" customFormat="false" ht="15" hidden="false" customHeight="false" outlineLevel="0" collapsed="false">
      <c r="A265" s="34" t="str">
        <f aca="false">IF(E265="","",ROW()-3)</f>
        <v/>
      </c>
      <c r="B265" s="35"/>
      <c r="C265" s="28"/>
      <c r="D265" s="28"/>
      <c r="E265" s="28"/>
      <c r="F265" s="28"/>
      <c r="G265" s="32" t="str">
        <f aca="false">IF(E265="","",IFERROR(INDEX(Товары!$D$4:$D$200,MATCH(E265,Товары!$B$4:$B$200,0)),0))</f>
        <v/>
      </c>
      <c r="H265" s="29"/>
      <c r="I265" s="32" t="str">
        <f aca="false">IF(OR(E265="",F265=""),"",F265*G265-N(H265))</f>
        <v/>
      </c>
      <c r="J265" s="29"/>
      <c r="K265" s="32" t="str">
        <f aca="false">IF(AND(I265="",N(J265)=0),"",N(I265)+N(J265))</f>
        <v/>
      </c>
      <c r="L265" s="32" t="str">
        <f aca="false">IF(OR(E265="",F265=""),"",F265*IFERROR(INDEX(Товары!$C$4:$C$200,MATCH(E265,Товары!$B$4:$B$200,0)),0))</f>
        <v/>
      </c>
      <c r="M265" s="32" t="str">
        <f aca="false">IF(I265="","",I265-L265)</f>
        <v/>
      </c>
      <c r="N265" s="28"/>
      <c r="O265" s="28"/>
      <c r="P265" s="28"/>
      <c r="Q265" s="28"/>
      <c r="R265" s="35"/>
      <c r="S265" s="28"/>
    </row>
    <row r="266" customFormat="false" ht="15" hidden="false" customHeight="false" outlineLevel="0" collapsed="false">
      <c r="A266" s="34" t="str">
        <f aca="false">IF(E266="","",ROW()-3)</f>
        <v/>
      </c>
      <c r="B266" s="35"/>
      <c r="C266" s="28"/>
      <c r="D266" s="28"/>
      <c r="E266" s="28"/>
      <c r="F266" s="28"/>
      <c r="G266" s="32" t="str">
        <f aca="false">IF(E266="","",IFERROR(INDEX(Товары!$D$4:$D$200,MATCH(E266,Товары!$B$4:$B$200,0)),0))</f>
        <v/>
      </c>
      <c r="H266" s="29"/>
      <c r="I266" s="32" t="str">
        <f aca="false">IF(OR(E266="",F266=""),"",F266*G266-N(H266))</f>
        <v/>
      </c>
      <c r="J266" s="29"/>
      <c r="K266" s="32" t="str">
        <f aca="false">IF(AND(I266="",N(J266)=0),"",N(I266)+N(J266))</f>
        <v/>
      </c>
      <c r="L266" s="32" t="str">
        <f aca="false">IF(OR(E266="",F266=""),"",F266*IFERROR(INDEX(Товары!$C$4:$C$200,MATCH(E266,Товары!$B$4:$B$200,0)),0))</f>
        <v/>
      </c>
      <c r="M266" s="32" t="str">
        <f aca="false">IF(I266="","",I266-L266)</f>
        <v/>
      </c>
      <c r="N266" s="28"/>
      <c r="O266" s="28"/>
      <c r="P266" s="28"/>
      <c r="Q266" s="28"/>
      <c r="R266" s="35"/>
      <c r="S266" s="28"/>
    </row>
    <row r="267" customFormat="false" ht="15" hidden="false" customHeight="false" outlineLevel="0" collapsed="false">
      <c r="A267" s="34" t="str">
        <f aca="false">IF(E267="","",ROW()-3)</f>
        <v/>
      </c>
      <c r="B267" s="35"/>
      <c r="C267" s="28"/>
      <c r="D267" s="28"/>
      <c r="E267" s="28"/>
      <c r="F267" s="28"/>
      <c r="G267" s="32" t="str">
        <f aca="false">IF(E267="","",IFERROR(INDEX(Товары!$D$4:$D$200,MATCH(E267,Товары!$B$4:$B$200,0)),0))</f>
        <v/>
      </c>
      <c r="H267" s="29"/>
      <c r="I267" s="32" t="str">
        <f aca="false">IF(OR(E267="",F267=""),"",F267*G267-N(H267))</f>
        <v/>
      </c>
      <c r="J267" s="29"/>
      <c r="K267" s="32" t="str">
        <f aca="false">IF(AND(I267="",N(J267)=0),"",N(I267)+N(J267))</f>
        <v/>
      </c>
      <c r="L267" s="32" t="str">
        <f aca="false">IF(OR(E267="",F267=""),"",F267*IFERROR(INDEX(Товары!$C$4:$C$200,MATCH(E267,Товары!$B$4:$B$200,0)),0))</f>
        <v/>
      </c>
      <c r="M267" s="32" t="str">
        <f aca="false">IF(I267="","",I267-L267)</f>
        <v/>
      </c>
      <c r="N267" s="28"/>
      <c r="O267" s="28"/>
      <c r="P267" s="28"/>
      <c r="Q267" s="28"/>
      <c r="R267" s="35"/>
      <c r="S267" s="28"/>
    </row>
    <row r="268" customFormat="false" ht="15" hidden="false" customHeight="false" outlineLevel="0" collapsed="false">
      <c r="A268" s="34" t="str">
        <f aca="false">IF(E268="","",ROW()-3)</f>
        <v/>
      </c>
      <c r="B268" s="35"/>
      <c r="C268" s="28"/>
      <c r="D268" s="28"/>
      <c r="E268" s="28"/>
      <c r="F268" s="28"/>
      <c r="G268" s="32" t="str">
        <f aca="false">IF(E268="","",IFERROR(INDEX(Товары!$D$4:$D$200,MATCH(E268,Товары!$B$4:$B$200,0)),0))</f>
        <v/>
      </c>
      <c r="H268" s="29"/>
      <c r="I268" s="32" t="str">
        <f aca="false">IF(OR(E268="",F268=""),"",F268*G268-N(H268))</f>
        <v/>
      </c>
      <c r="J268" s="29"/>
      <c r="K268" s="32" t="str">
        <f aca="false">IF(AND(I268="",N(J268)=0),"",N(I268)+N(J268))</f>
        <v/>
      </c>
      <c r="L268" s="32" t="str">
        <f aca="false">IF(OR(E268="",F268=""),"",F268*IFERROR(INDEX(Товары!$C$4:$C$200,MATCH(E268,Товары!$B$4:$B$200,0)),0))</f>
        <v/>
      </c>
      <c r="M268" s="32" t="str">
        <f aca="false">IF(I268="","",I268-L268)</f>
        <v/>
      </c>
      <c r="N268" s="28"/>
      <c r="O268" s="28"/>
      <c r="P268" s="28"/>
      <c r="Q268" s="28"/>
      <c r="R268" s="35"/>
      <c r="S268" s="28"/>
    </row>
    <row r="269" customFormat="false" ht="15" hidden="false" customHeight="false" outlineLevel="0" collapsed="false">
      <c r="A269" s="34" t="str">
        <f aca="false">IF(E269="","",ROW()-3)</f>
        <v/>
      </c>
      <c r="B269" s="35"/>
      <c r="C269" s="28"/>
      <c r="D269" s="28"/>
      <c r="E269" s="28"/>
      <c r="F269" s="28"/>
      <c r="G269" s="32" t="str">
        <f aca="false">IF(E269="","",IFERROR(INDEX(Товары!$D$4:$D$200,MATCH(E269,Товары!$B$4:$B$200,0)),0))</f>
        <v/>
      </c>
      <c r="H269" s="29"/>
      <c r="I269" s="32" t="str">
        <f aca="false">IF(OR(E269="",F269=""),"",F269*G269-N(H269))</f>
        <v/>
      </c>
      <c r="J269" s="29"/>
      <c r="K269" s="32" t="str">
        <f aca="false">IF(AND(I269="",N(J269)=0),"",N(I269)+N(J269))</f>
        <v/>
      </c>
      <c r="L269" s="32" t="str">
        <f aca="false">IF(OR(E269="",F269=""),"",F269*IFERROR(INDEX(Товары!$C$4:$C$200,MATCH(E269,Товары!$B$4:$B$200,0)),0))</f>
        <v/>
      </c>
      <c r="M269" s="32" t="str">
        <f aca="false">IF(I269="","",I269-L269)</f>
        <v/>
      </c>
      <c r="N269" s="28"/>
      <c r="O269" s="28"/>
      <c r="P269" s="28"/>
      <c r="Q269" s="28"/>
      <c r="R269" s="35"/>
      <c r="S269" s="28"/>
    </row>
    <row r="270" customFormat="false" ht="15" hidden="false" customHeight="false" outlineLevel="0" collapsed="false">
      <c r="A270" s="34" t="str">
        <f aca="false">IF(E270="","",ROW()-3)</f>
        <v/>
      </c>
      <c r="B270" s="35"/>
      <c r="C270" s="28"/>
      <c r="D270" s="28"/>
      <c r="E270" s="28"/>
      <c r="F270" s="28"/>
      <c r="G270" s="32" t="str">
        <f aca="false">IF(E270="","",IFERROR(INDEX(Товары!$D$4:$D$200,MATCH(E270,Товары!$B$4:$B$200,0)),0))</f>
        <v/>
      </c>
      <c r="H270" s="29"/>
      <c r="I270" s="32" t="str">
        <f aca="false">IF(OR(E270="",F270=""),"",F270*G270-N(H270))</f>
        <v/>
      </c>
      <c r="J270" s="29"/>
      <c r="K270" s="32" t="str">
        <f aca="false">IF(AND(I270="",N(J270)=0),"",N(I270)+N(J270))</f>
        <v/>
      </c>
      <c r="L270" s="32" t="str">
        <f aca="false">IF(OR(E270="",F270=""),"",F270*IFERROR(INDEX(Товары!$C$4:$C$200,MATCH(E270,Товары!$B$4:$B$200,0)),0))</f>
        <v/>
      </c>
      <c r="M270" s="32" t="str">
        <f aca="false">IF(I270="","",I270-L270)</f>
        <v/>
      </c>
      <c r="N270" s="28"/>
      <c r="O270" s="28"/>
      <c r="P270" s="28"/>
      <c r="Q270" s="28"/>
      <c r="R270" s="35"/>
      <c r="S270" s="28"/>
    </row>
    <row r="271" customFormat="false" ht="15" hidden="false" customHeight="false" outlineLevel="0" collapsed="false">
      <c r="A271" s="34" t="str">
        <f aca="false">IF(E271="","",ROW()-3)</f>
        <v/>
      </c>
      <c r="B271" s="35"/>
      <c r="C271" s="28"/>
      <c r="D271" s="28"/>
      <c r="E271" s="28"/>
      <c r="F271" s="28"/>
      <c r="G271" s="32" t="str">
        <f aca="false">IF(E271="","",IFERROR(INDEX(Товары!$D$4:$D$200,MATCH(E271,Товары!$B$4:$B$200,0)),0))</f>
        <v/>
      </c>
      <c r="H271" s="29"/>
      <c r="I271" s="32" t="str">
        <f aca="false">IF(OR(E271="",F271=""),"",F271*G271-N(H271))</f>
        <v/>
      </c>
      <c r="J271" s="29"/>
      <c r="K271" s="32" t="str">
        <f aca="false">IF(AND(I271="",N(J271)=0),"",N(I271)+N(J271))</f>
        <v/>
      </c>
      <c r="L271" s="32" t="str">
        <f aca="false">IF(OR(E271="",F271=""),"",F271*IFERROR(INDEX(Товары!$C$4:$C$200,MATCH(E271,Товары!$B$4:$B$200,0)),0))</f>
        <v/>
      </c>
      <c r="M271" s="32" t="str">
        <f aca="false">IF(I271="","",I271-L271)</f>
        <v/>
      </c>
      <c r="N271" s="28"/>
      <c r="O271" s="28"/>
      <c r="P271" s="28"/>
      <c r="Q271" s="28"/>
      <c r="R271" s="35"/>
      <c r="S271" s="28"/>
    </row>
    <row r="272" customFormat="false" ht="15" hidden="false" customHeight="false" outlineLevel="0" collapsed="false">
      <c r="A272" s="34" t="str">
        <f aca="false">IF(E272="","",ROW()-3)</f>
        <v/>
      </c>
      <c r="B272" s="35"/>
      <c r="C272" s="28"/>
      <c r="D272" s="28"/>
      <c r="E272" s="28"/>
      <c r="F272" s="28"/>
      <c r="G272" s="32" t="str">
        <f aca="false">IF(E272="","",IFERROR(INDEX(Товары!$D$4:$D$200,MATCH(E272,Товары!$B$4:$B$200,0)),0))</f>
        <v/>
      </c>
      <c r="H272" s="29"/>
      <c r="I272" s="32" t="str">
        <f aca="false">IF(OR(E272="",F272=""),"",F272*G272-N(H272))</f>
        <v/>
      </c>
      <c r="J272" s="29"/>
      <c r="K272" s="32" t="str">
        <f aca="false">IF(AND(I272="",N(J272)=0),"",N(I272)+N(J272))</f>
        <v/>
      </c>
      <c r="L272" s="32" t="str">
        <f aca="false">IF(OR(E272="",F272=""),"",F272*IFERROR(INDEX(Товары!$C$4:$C$200,MATCH(E272,Товары!$B$4:$B$200,0)),0))</f>
        <v/>
      </c>
      <c r="M272" s="32" t="str">
        <f aca="false">IF(I272="","",I272-L272)</f>
        <v/>
      </c>
      <c r="N272" s="28"/>
      <c r="O272" s="28"/>
      <c r="P272" s="28"/>
      <c r="Q272" s="28"/>
      <c r="R272" s="35"/>
      <c r="S272" s="28"/>
    </row>
    <row r="273" customFormat="false" ht="15" hidden="false" customHeight="false" outlineLevel="0" collapsed="false">
      <c r="A273" s="34" t="str">
        <f aca="false">IF(E273="","",ROW()-3)</f>
        <v/>
      </c>
      <c r="B273" s="35"/>
      <c r="C273" s="28"/>
      <c r="D273" s="28"/>
      <c r="E273" s="28"/>
      <c r="F273" s="28"/>
      <c r="G273" s="32" t="str">
        <f aca="false">IF(E273="","",IFERROR(INDEX(Товары!$D$4:$D$200,MATCH(E273,Товары!$B$4:$B$200,0)),0))</f>
        <v/>
      </c>
      <c r="H273" s="29"/>
      <c r="I273" s="32" t="str">
        <f aca="false">IF(OR(E273="",F273=""),"",F273*G273-N(H273))</f>
        <v/>
      </c>
      <c r="J273" s="29"/>
      <c r="K273" s="32" t="str">
        <f aca="false">IF(AND(I273="",N(J273)=0),"",N(I273)+N(J273))</f>
        <v/>
      </c>
      <c r="L273" s="32" t="str">
        <f aca="false">IF(OR(E273="",F273=""),"",F273*IFERROR(INDEX(Товары!$C$4:$C$200,MATCH(E273,Товары!$B$4:$B$200,0)),0))</f>
        <v/>
      </c>
      <c r="M273" s="32" t="str">
        <f aca="false">IF(I273="","",I273-L273)</f>
        <v/>
      </c>
      <c r="N273" s="28"/>
      <c r="O273" s="28"/>
      <c r="P273" s="28"/>
      <c r="Q273" s="28"/>
      <c r="R273" s="35"/>
      <c r="S273" s="28"/>
    </row>
    <row r="274" customFormat="false" ht="15" hidden="false" customHeight="false" outlineLevel="0" collapsed="false">
      <c r="A274" s="34" t="str">
        <f aca="false">IF(E274="","",ROW()-3)</f>
        <v/>
      </c>
      <c r="B274" s="35"/>
      <c r="C274" s="28"/>
      <c r="D274" s="28"/>
      <c r="E274" s="28"/>
      <c r="F274" s="28"/>
      <c r="G274" s="32" t="str">
        <f aca="false">IF(E274="","",IFERROR(INDEX(Товары!$D$4:$D$200,MATCH(E274,Товары!$B$4:$B$200,0)),0))</f>
        <v/>
      </c>
      <c r="H274" s="29"/>
      <c r="I274" s="32" t="str">
        <f aca="false">IF(OR(E274="",F274=""),"",F274*G274-N(H274))</f>
        <v/>
      </c>
      <c r="J274" s="29"/>
      <c r="K274" s="32" t="str">
        <f aca="false">IF(AND(I274="",N(J274)=0),"",N(I274)+N(J274))</f>
        <v/>
      </c>
      <c r="L274" s="32" t="str">
        <f aca="false">IF(OR(E274="",F274=""),"",F274*IFERROR(INDEX(Товары!$C$4:$C$200,MATCH(E274,Товары!$B$4:$B$200,0)),0))</f>
        <v/>
      </c>
      <c r="M274" s="32" t="str">
        <f aca="false">IF(I274="","",I274-L274)</f>
        <v/>
      </c>
      <c r="N274" s="28"/>
      <c r="O274" s="28"/>
      <c r="P274" s="28"/>
      <c r="Q274" s="28"/>
      <c r="R274" s="35"/>
      <c r="S274" s="28"/>
    </row>
    <row r="275" customFormat="false" ht="15" hidden="false" customHeight="false" outlineLevel="0" collapsed="false">
      <c r="A275" s="34" t="str">
        <f aca="false">IF(E275="","",ROW()-3)</f>
        <v/>
      </c>
      <c r="B275" s="35"/>
      <c r="C275" s="28"/>
      <c r="D275" s="28"/>
      <c r="E275" s="28"/>
      <c r="F275" s="28"/>
      <c r="G275" s="32" t="str">
        <f aca="false">IF(E275="","",IFERROR(INDEX(Товары!$D$4:$D$200,MATCH(E275,Товары!$B$4:$B$200,0)),0))</f>
        <v/>
      </c>
      <c r="H275" s="29"/>
      <c r="I275" s="32" t="str">
        <f aca="false">IF(OR(E275="",F275=""),"",F275*G275-N(H275))</f>
        <v/>
      </c>
      <c r="J275" s="29"/>
      <c r="K275" s="32" t="str">
        <f aca="false">IF(AND(I275="",N(J275)=0),"",N(I275)+N(J275))</f>
        <v/>
      </c>
      <c r="L275" s="32" t="str">
        <f aca="false">IF(OR(E275="",F275=""),"",F275*IFERROR(INDEX(Товары!$C$4:$C$200,MATCH(E275,Товары!$B$4:$B$200,0)),0))</f>
        <v/>
      </c>
      <c r="M275" s="32" t="str">
        <f aca="false">IF(I275="","",I275-L275)</f>
        <v/>
      </c>
      <c r="N275" s="28"/>
      <c r="O275" s="28"/>
      <c r="P275" s="28"/>
      <c r="Q275" s="28"/>
      <c r="R275" s="35"/>
      <c r="S275" s="28"/>
    </row>
    <row r="276" customFormat="false" ht="15" hidden="false" customHeight="false" outlineLevel="0" collapsed="false">
      <c r="A276" s="34" t="str">
        <f aca="false">IF(E276="","",ROW()-3)</f>
        <v/>
      </c>
      <c r="B276" s="35"/>
      <c r="C276" s="28"/>
      <c r="D276" s="28"/>
      <c r="E276" s="28"/>
      <c r="F276" s="28"/>
      <c r="G276" s="32" t="str">
        <f aca="false">IF(E276="","",IFERROR(INDEX(Товары!$D$4:$D$200,MATCH(E276,Товары!$B$4:$B$200,0)),0))</f>
        <v/>
      </c>
      <c r="H276" s="29"/>
      <c r="I276" s="32" t="str">
        <f aca="false">IF(OR(E276="",F276=""),"",F276*G276-N(H276))</f>
        <v/>
      </c>
      <c r="J276" s="29"/>
      <c r="K276" s="32" t="str">
        <f aca="false">IF(AND(I276="",N(J276)=0),"",N(I276)+N(J276))</f>
        <v/>
      </c>
      <c r="L276" s="32" t="str">
        <f aca="false">IF(OR(E276="",F276=""),"",F276*IFERROR(INDEX(Товары!$C$4:$C$200,MATCH(E276,Товары!$B$4:$B$200,0)),0))</f>
        <v/>
      </c>
      <c r="M276" s="32" t="str">
        <f aca="false">IF(I276="","",I276-L276)</f>
        <v/>
      </c>
      <c r="N276" s="28"/>
      <c r="O276" s="28"/>
      <c r="P276" s="28"/>
      <c r="Q276" s="28"/>
      <c r="R276" s="35"/>
      <c r="S276" s="28"/>
    </row>
    <row r="277" customFormat="false" ht="15" hidden="false" customHeight="false" outlineLevel="0" collapsed="false">
      <c r="A277" s="34" t="str">
        <f aca="false">IF(E277="","",ROW()-3)</f>
        <v/>
      </c>
      <c r="B277" s="35"/>
      <c r="C277" s="28"/>
      <c r="D277" s="28"/>
      <c r="E277" s="28"/>
      <c r="F277" s="28"/>
      <c r="G277" s="32" t="str">
        <f aca="false">IF(E277="","",IFERROR(INDEX(Товары!$D$4:$D$200,MATCH(E277,Товары!$B$4:$B$200,0)),0))</f>
        <v/>
      </c>
      <c r="H277" s="29"/>
      <c r="I277" s="32" t="str">
        <f aca="false">IF(OR(E277="",F277=""),"",F277*G277-N(H277))</f>
        <v/>
      </c>
      <c r="J277" s="29"/>
      <c r="K277" s="32" t="str">
        <f aca="false">IF(AND(I277="",N(J277)=0),"",N(I277)+N(J277))</f>
        <v/>
      </c>
      <c r="L277" s="32" t="str">
        <f aca="false">IF(OR(E277="",F277=""),"",F277*IFERROR(INDEX(Товары!$C$4:$C$200,MATCH(E277,Товары!$B$4:$B$200,0)),0))</f>
        <v/>
      </c>
      <c r="M277" s="32" t="str">
        <f aca="false">IF(I277="","",I277-L277)</f>
        <v/>
      </c>
      <c r="N277" s="28"/>
      <c r="O277" s="28"/>
      <c r="P277" s="28"/>
      <c r="Q277" s="28"/>
      <c r="R277" s="35"/>
      <c r="S277" s="28"/>
    </row>
    <row r="278" customFormat="false" ht="15" hidden="false" customHeight="false" outlineLevel="0" collapsed="false">
      <c r="A278" s="34" t="str">
        <f aca="false">IF(E278="","",ROW()-3)</f>
        <v/>
      </c>
      <c r="B278" s="35"/>
      <c r="C278" s="28"/>
      <c r="D278" s="28"/>
      <c r="E278" s="28"/>
      <c r="F278" s="28"/>
      <c r="G278" s="32" t="str">
        <f aca="false">IF(E278="","",IFERROR(INDEX(Товары!$D$4:$D$200,MATCH(E278,Товары!$B$4:$B$200,0)),0))</f>
        <v/>
      </c>
      <c r="H278" s="29"/>
      <c r="I278" s="32" t="str">
        <f aca="false">IF(OR(E278="",F278=""),"",F278*G278-N(H278))</f>
        <v/>
      </c>
      <c r="J278" s="29"/>
      <c r="K278" s="32" t="str">
        <f aca="false">IF(AND(I278="",N(J278)=0),"",N(I278)+N(J278))</f>
        <v/>
      </c>
      <c r="L278" s="32" t="str">
        <f aca="false">IF(OR(E278="",F278=""),"",F278*IFERROR(INDEX(Товары!$C$4:$C$200,MATCH(E278,Товары!$B$4:$B$200,0)),0))</f>
        <v/>
      </c>
      <c r="M278" s="32" t="str">
        <f aca="false">IF(I278="","",I278-L278)</f>
        <v/>
      </c>
      <c r="N278" s="28"/>
      <c r="O278" s="28"/>
      <c r="P278" s="28"/>
      <c r="Q278" s="28"/>
      <c r="R278" s="35"/>
      <c r="S278" s="28"/>
    </row>
    <row r="279" customFormat="false" ht="15" hidden="false" customHeight="false" outlineLevel="0" collapsed="false">
      <c r="A279" s="34" t="str">
        <f aca="false">IF(E279="","",ROW()-3)</f>
        <v/>
      </c>
      <c r="B279" s="35"/>
      <c r="C279" s="28"/>
      <c r="D279" s="28"/>
      <c r="E279" s="28"/>
      <c r="F279" s="28"/>
      <c r="G279" s="32" t="str">
        <f aca="false">IF(E279="","",IFERROR(INDEX(Товары!$D$4:$D$200,MATCH(E279,Товары!$B$4:$B$200,0)),0))</f>
        <v/>
      </c>
      <c r="H279" s="29"/>
      <c r="I279" s="32" t="str">
        <f aca="false">IF(OR(E279="",F279=""),"",F279*G279-N(H279))</f>
        <v/>
      </c>
      <c r="J279" s="29"/>
      <c r="K279" s="32" t="str">
        <f aca="false">IF(AND(I279="",N(J279)=0),"",N(I279)+N(J279))</f>
        <v/>
      </c>
      <c r="L279" s="32" t="str">
        <f aca="false">IF(OR(E279="",F279=""),"",F279*IFERROR(INDEX(Товары!$C$4:$C$200,MATCH(E279,Товары!$B$4:$B$200,0)),0))</f>
        <v/>
      </c>
      <c r="M279" s="32" t="str">
        <f aca="false">IF(I279="","",I279-L279)</f>
        <v/>
      </c>
      <c r="N279" s="28"/>
      <c r="O279" s="28"/>
      <c r="P279" s="28"/>
      <c r="Q279" s="28"/>
      <c r="R279" s="35"/>
      <c r="S279" s="28"/>
    </row>
    <row r="280" customFormat="false" ht="15" hidden="false" customHeight="false" outlineLevel="0" collapsed="false">
      <c r="A280" s="34" t="str">
        <f aca="false">IF(E280="","",ROW()-3)</f>
        <v/>
      </c>
      <c r="B280" s="35"/>
      <c r="C280" s="28"/>
      <c r="D280" s="28"/>
      <c r="E280" s="28"/>
      <c r="F280" s="28"/>
      <c r="G280" s="32" t="str">
        <f aca="false">IF(E280="","",IFERROR(INDEX(Товары!$D$4:$D$200,MATCH(E280,Товары!$B$4:$B$200,0)),0))</f>
        <v/>
      </c>
      <c r="H280" s="29"/>
      <c r="I280" s="32" t="str">
        <f aca="false">IF(OR(E280="",F280=""),"",F280*G280-N(H280))</f>
        <v/>
      </c>
      <c r="J280" s="29"/>
      <c r="K280" s="32" t="str">
        <f aca="false">IF(AND(I280="",N(J280)=0),"",N(I280)+N(J280))</f>
        <v/>
      </c>
      <c r="L280" s="32" t="str">
        <f aca="false">IF(OR(E280="",F280=""),"",F280*IFERROR(INDEX(Товары!$C$4:$C$200,MATCH(E280,Товары!$B$4:$B$200,0)),0))</f>
        <v/>
      </c>
      <c r="M280" s="32" t="str">
        <f aca="false">IF(I280="","",I280-L280)</f>
        <v/>
      </c>
      <c r="N280" s="28"/>
      <c r="O280" s="28"/>
      <c r="P280" s="28"/>
      <c r="Q280" s="28"/>
      <c r="R280" s="35"/>
      <c r="S280" s="28"/>
    </row>
    <row r="281" customFormat="false" ht="15" hidden="false" customHeight="false" outlineLevel="0" collapsed="false">
      <c r="A281" s="34" t="str">
        <f aca="false">IF(E281="","",ROW()-3)</f>
        <v/>
      </c>
      <c r="B281" s="35"/>
      <c r="C281" s="28"/>
      <c r="D281" s="28"/>
      <c r="E281" s="28"/>
      <c r="F281" s="28"/>
      <c r="G281" s="32" t="str">
        <f aca="false">IF(E281="","",IFERROR(INDEX(Товары!$D$4:$D$200,MATCH(E281,Товары!$B$4:$B$200,0)),0))</f>
        <v/>
      </c>
      <c r="H281" s="29"/>
      <c r="I281" s="32" t="str">
        <f aca="false">IF(OR(E281="",F281=""),"",F281*G281-N(H281))</f>
        <v/>
      </c>
      <c r="J281" s="29"/>
      <c r="K281" s="32" t="str">
        <f aca="false">IF(AND(I281="",N(J281)=0),"",N(I281)+N(J281))</f>
        <v/>
      </c>
      <c r="L281" s="32" t="str">
        <f aca="false">IF(OR(E281="",F281=""),"",F281*IFERROR(INDEX(Товары!$C$4:$C$200,MATCH(E281,Товары!$B$4:$B$200,0)),0))</f>
        <v/>
      </c>
      <c r="M281" s="32" t="str">
        <f aca="false">IF(I281="","",I281-L281)</f>
        <v/>
      </c>
      <c r="N281" s="28"/>
      <c r="O281" s="28"/>
      <c r="P281" s="28"/>
      <c r="Q281" s="28"/>
      <c r="R281" s="35"/>
      <c r="S281" s="28"/>
    </row>
    <row r="282" customFormat="false" ht="15" hidden="false" customHeight="false" outlineLevel="0" collapsed="false">
      <c r="A282" s="34" t="str">
        <f aca="false">IF(E282="","",ROW()-3)</f>
        <v/>
      </c>
      <c r="B282" s="35"/>
      <c r="C282" s="28"/>
      <c r="D282" s="28"/>
      <c r="E282" s="28"/>
      <c r="F282" s="28"/>
      <c r="G282" s="32" t="str">
        <f aca="false">IF(E282="","",IFERROR(INDEX(Товары!$D$4:$D$200,MATCH(E282,Товары!$B$4:$B$200,0)),0))</f>
        <v/>
      </c>
      <c r="H282" s="29"/>
      <c r="I282" s="32" t="str">
        <f aca="false">IF(OR(E282="",F282=""),"",F282*G282-N(H282))</f>
        <v/>
      </c>
      <c r="J282" s="29"/>
      <c r="K282" s="32" t="str">
        <f aca="false">IF(AND(I282="",N(J282)=0),"",N(I282)+N(J282))</f>
        <v/>
      </c>
      <c r="L282" s="32" t="str">
        <f aca="false">IF(OR(E282="",F282=""),"",F282*IFERROR(INDEX(Товары!$C$4:$C$200,MATCH(E282,Товары!$B$4:$B$200,0)),0))</f>
        <v/>
      </c>
      <c r="M282" s="32" t="str">
        <f aca="false">IF(I282="","",I282-L282)</f>
        <v/>
      </c>
      <c r="N282" s="28"/>
      <c r="O282" s="28"/>
      <c r="P282" s="28"/>
      <c r="Q282" s="28"/>
      <c r="R282" s="35"/>
      <c r="S282" s="28"/>
    </row>
    <row r="283" customFormat="false" ht="15" hidden="false" customHeight="false" outlineLevel="0" collapsed="false">
      <c r="A283" s="34" t="str">
        <f aca="false">IF(E283="","",ROW()-3)</f>
        <v/>
      </c>
      <c r="B283" s="35"/>
      <c r="C283" s="28"/>
      <c r="D283" s="28"/>
      <c r="E283" s="28"/>
      <c r="F283" s="28"/>
      <c r="G283" s="32" t="str">
        <f aca="false">IF(E283="","",IFERROR(INDEX(Товары!$D$4:$D$200,MATCH(E283,Товары!$B$4:$B$200,0)),0))</f>
        <v/>
      </c>
      <c r="H283" s="29"/>
      <c r="I283" s="32" t="str">
        <f aca="false">IF(OR(E283="",F283=""),"",F283*G283-N(H283))</f>
        <v/>
      </c>
      <c r="J283" s="29"/>
      <c r="K283" s="32" t="str">
        <f aca="false">IF(AND(I283="",N(J283)=0),"",N(I283)+N(J283))</f>
        <v/>
      </c>
      <c r="L283" s="32" t="str">
        <f aca="false">IF(OR(E283="",F283=""),"",F283*IFERROR(INDEX(Товары!$C$4:$C$200,MATCH(E283,Товары!$B$4:$B$200,0)),0))</f>
        <v/>
      </c>
      <c r="M283" s="32" t="str">
        <f aca="false">IF(I283="","",I283-L283)</f>
        <v/>
      </c>
      <c r="N283" s="28"/>
      <c r="O283" s="28"/>
      <c r="P283" s="28"/>
      <c r="Q283" s="28"/>
      <c r="R283" s="35"/>
      <c r="S283" s="28"/>
    </row>
    <row r="284" customFormat="false" ht="15" hidden="false" customHeight="false" outlineLevel="0" collapsed="false">
      <c r="A284" s="34" t="str">
        <f aca="false">IF(E284="","",ROW()-3)</f>
        <v/>
      </c>
      <c r="B284" s="35"/>
      <c r="C284" s="28"/>
      <c r="D284" s="28"/>
      <c r="E284" s="28"/>
      <c r="F284" s="28"/>
      <c r="G284" s="32" t="str">
        <f aca="false">IF(E284="","",IFERROR(INDEX(Товары!$D$4:$D$200,MATCH(E284,Товары!$B$4:$B$200,0)),0))</f>
        <v/>
      </c>
      <c r="H284" s="29"/>
      <c r="I284" s="32" t="str">
        <f aca="false">IF(OR(E284="",F284=""),"",F284*G284-N(H284))</f>
        <v/>
      </c>
      <c r="J284" s="29"/>
      <c r="K284" s="32" t="str">
        <f aca="false">IF(AND(I284="",N(J284)=0),"",N(I284)+N(J284))</f>
        <v/>
      </c>
      <c r="L284" s="32" t="str">
        <f aca="false">IF(OR(E284="",F284=""),"",F284*IFERROR(INDEX(Товары!$C$4:$C$200,MATCH(E284,Товары!$B$4:$B$200,0)),0))</f>
        <v/>
      </c>
      <c r="M284" s="32" t="str">
        <f aca="false">IF(I284="","",I284-L284)</f>
        <v/>
      </c>
      <c r="N284" s="28"/>
      <c r="O284" s="28"/>
      <c r="P284" s="28"/>
      <c r="Q284" s="28"/>
      <c r="R284" s="35"/>
      <c r="S284" s="28"/>
    </row>
    <row r="285" customFormat="false" ht="15" hidden="false" customHeight="false" outlineLevel="0" collapsed="false">
      <c r="A285" s="34" t="str">
        <f aca="false">IF(E285="","",ROW()-3)</f>
        <v/>
      </c>
      <c r="B285" s="35"/>
      <c r="C285" s="28"/>
      <c r="D285" s="28"/>
      <c r="E285" s="28"/>
      <c r="F285" s="28"/>
      <c r="G285" s="32" t="str">
        <f aca="false">IF(E285="","",IFERROR(INDEX(Товары!$D$4:$D$200,MATCH(E285,Товары!$B$4:$B$200,0)),0))</f>
        <v/>
      </c>
      <c r="H285" s="29"/>
      <c r="I285" s="32" t="str">
        <f aca="false">IF(OR(E285="",F285=""),"",F285*G285-N(H285))</f>
        <v/>
      </c>
      <c r="J285" s="29"/>
      <c r="K285" s="32" t="str">
        <f aca="false">IF(AND(I285="",N(J285)=0),"",N(I285)+N(J285))</f>
        <v/>
      </c>
      <c r="L285" s="32" t="str">
        <f aca="false">IF(OR(E285="",F285=""),"",F285*IFERROR(INDEX(Товары!$C$4:$C$200,MATCH(E285,Товары!$B$4:$B$200,0)),0))</f>
        <v/>
      </c>
      <c r="M285" s="32" t="str">
        <f aca="false">IF(I285="","",I285-L285)</f>
        <v/>
      </c>
      <c r="N285" s="28"/>
      <c r="O285" s="28"/>
      <c r="P285" s="28"/>
      <c r="Q285" s="28"/>
      <c r="R285" s="35"/>
      <c r="S285" s="28"/>
    </row>
    <row r="286" customFormat="false" ht="15" hidden="false" customHeight="false" outlineLevel="0" collapsed="false">
      <c r="A286" s="34" t="str">
        <f aca="false">IF(E286="","",ROW()-3)</f>
        <v/>
      </c>
      <c r="B286" s="35"/>
      <c r="C286" s="28"/>
      <c r="D286" s="28"/>
      <c r="E286" s="28"/>
      <c r="F286" s="28"/>
      <c r="G286" s="32" t="str">
        <f aca="false">IF(E286="","",IFERROR(INDEX(Товары!$D$4:$D$200,MATCH(E286,Товары!$B$4:$B$200,0)),0))</f>
        <v/>
      </c>
      <c r="H286" s="29"/>
      <c r="I286" s="32" t="str">
        <f aca="false">IF(OR(E286="",F286=""),"",F286*G286-N(H286))</f>
        <v/>
      </c>
      <c r="J286" s="29"/>
      <c r="K286" s="32" t="str">
        <f aca="false">IF(AND(I286="",N(J286)=0),"",N(I286)+N(J286))</f>
        <v/>
      </c>
      <c r="L286" s="32" t="str">
        <f aca="false">IF(OR(E286="",F286=""),"",F286*IFERROR(INDEX(Товары!$C$4:$C$200,MATCH(E286,Товары!$B$4:$B$200,0)),0))</f>
        <v/>
      </c>
      <c r="M286" s="32" t="str">
        <f aca="false">IF(I286="","",I286-L286)</f>
        <v/>
      </c>
      <c r="N286" s="28"/>
      <c r="O286" s="28"/>
      <c r="P286" s="28"/>
      <c r="Q286" s="28"/>
      <c r="R286" s="35"/>
      <c r="S286" s="28"/>
    </row>
    <row r="287" customFormat="false" ht="15" hidden="false" customHeight="false" outlineLevel="0" collapsed="false">
      <c r="A287" s="34" t="str">
        <f aca="false">IF(E287="","",ROW()-3)</f>
        <v/>
      </c>
      <c r="B287" s="35"/>
      <c r="C287" s="28"/>
      <c r="D287" s="28"/>
      <c r="E287" s="28"/>
      <c r="F287" s="28"/>
      <c r="G287" s="32" t="str">
        <f aca="false">IF(E287="","",IFERROR(INDEX(Товары!$D$4:$D$200,MATCH(E287,Товары!$B$4:$B$200,0)),0))</f>
        <v/>
      </c>
      <c r="H287" s="29"/>
      <c r="I287" s="32" t="str">
        <f aca="false">IF(OR(E287="",F287=""),"",F287*G287-N(H287))</f>
        <v/>
      </c>
      <c r="J287" s="29"/>
      <c r="K287" s="32" t="str">
        <f aca="false">IF(AND(I287="",N(J287)=0),"",N(I287)+N(J287))</f>
        <v/>
      </c>
      <c r="L287" s="32" t="str">
        <f aca="false">IF(OR(E287="",F287=""),"",F287*IFERROR(INDEX(Товары!$C$4:$C$200,MATCH(E287,Товары!$B$4:$B$200,0)),0))</f>
        <v/>
      </c>
      <c r="M287" s="32" t="str">
        <f aca="false">IF(I287="","",I287-L287)</f>
        <v/>
      </c>
      <c r="N287" s="28"/>
      <c r="O287" s="28"/>
      <c r="P287" s="28"/>
      <c r="Q287" s="28"/>
      <c r="R287" s="35"/>
      <c r="S287" s="28"/>
    </row>
    <row r="288" customFormat="false" ht="15" hidden="false" customHeight="false" outlineLevel="0" collapsed="false">
      <c r="A288" s="34" t="str">
        <f aca="false">IF(E288="","",ROW()-3)</f>
        <v/>
      </c>
      <c r="B288" s="35"/>
      <c r="C288" s="28"/>
      <c r="D288" s="28"/>
      <c r="E288" s="28"/>
      <c r="F288" s="28"/>
      <c r="G288" s="32" t="str">
        <f aca="false">IF(E288="","",IFERROR(INDEX(Товары!$D$4:$D$200,MATCH(E288,Товары!$B$4:$B$200,0)),0))</f>
        <v/>
      </c>
      <c r="H288" s="29"/>
      <c r="I288" s="32" t="str">
        <f aca="false">IF(OR(E288="",F288=""),"",F288*G288-N(H288))</f>
        <v/>
      </c>
      <c r="J288" s="29"/>
      <c r="K288" s="32" t="str">
        <f aca="false">IF(AND(I288="",N(J288)=0),"",N(I288)+N(J288))</f>
        <v/>
      </c>
      <c r="L288" s="32" t="str">
        <f aca="false">IF(OR(E288="",F288=""),"",F288*IFERROR(INDEX(Товары!$C$4:$C$200,MATCH(E288,Товары!$B$4:$B$200,0)),0))</f>
        <v/>
      </c>
      <c r="M288" s="32" t="str">
        <f aca="false">IF(I288="","",I288-L288)</f>
        <v/>
      </c>
      <c r="N288" s="28"/>
      <c r="O288" s="28"/>
      <c r="P288" s="28"/>
      <c r="Q288" s="28"/>
      <c r="R288" s="35"/>
      <c r="S288" s="28"/>
    </row>
    <row r="289" customFormat="false" ht="15" hidden="false" customHeight="false" outlineLevel="0" collapsed="false">
      <c r="A289" s="34" t="str">
        <f aca="false">IF(E289="","",ROW()-3)</f>
        <v/>
      </c>
      <c r="B289" s="35"/>
      <c r="C289" s="28"/>
      <c r="D289" s="28"/>
      <c r="E289" s="28"/>
      <c r="F289" s="28"/>
      <c r="G289" s="32" t="str">
        <f aca="false">IF(E289="","",IFERROR(INDEX(Товары!$D$4:$D$200,MATCH(E289,Товары!$B$4:$B$200,0)),0))</f>
        <v/>
      </c>
      <c r="H289" s="29"/>
      <c r="I289" s="32" t="str">
        <f aca="false">IF(OR(E289="",F289=""),"",F289*G289-N(H289))</f>
        <v/>
      </c>
      <c r="J289" s="29"/>
      <c r="K289" s="32" t="str">
        <f aca="false">IF(AND(I289="",N(J289)=0),"",N(I289)+N(J289))</f>
        <v/>
      </c>
      <c r="L289" s="32" t="str">
        <f aca="false">IF(OR(E289="",F289=""),"",F289*IFERROR(INDEX(Товары!$C$4:$C$200,MATCH(E289,Товары!$B$4:$B$200,0)),0))</f>
        <v/>
      </c>
      <c r="M289" s="32" t="str">
        <f aca="false">IF(I289="","",I289-L289)</f>
        <v/>
      </c>
      <c r="N289" s="28"/>
      <c r="O289" s="28"/>
      <c r="P289" s="28"/>
      <c r="Q289" s="28"/>
      <c r="R289" s="35"/>
      <c r="S289" s="28"/>
    </row>
    <row r="290" customFormat="false" ht="15" hidden="false" customHeight="false" outlineLevel="0" collapsed="false">
      <c r="A290" s="34" t="str">
        <f aca="false">IF(E290="","",ROW()-3)</f>
        <v/>
      </c>
      <c r="B290" s="35"/>
      <c r="C290" s="28"/>
      <c r="D290" s="28"/>
      <c r="E290" s="28"/>
      <c r="F290" s="28"/>
      <c r="G290" s="32" t="str">
        <f aca="false">IF(E290="","",IFERROR(INDEX(Товары!$D$4:$D$200,MATCH(E290,Товары!$B$4:$B$200,0)),0))</f>
        <v/>
      </c>
      <c r="H290" s="29"/>
      <c r="I290" s="32" t="str">
        <f aca="false">IF(OR(E290="",F290=""),"",F290*G290-N(H290))</f>
        <v/>
      </c>
      <c r="J290" s="29"/>
      <c r="K290" s="32" t="str">
        <f aca="false">IF(AND(I290="",N(J290)=0),"",N(I290)+N(J290))</f>
        <v/>
      </c>
      <c r="L290" s="32" t="str">
        <f aca="false">IF(OR(E290="",F290=""),"",F290*IFERROR(INDEX(Товары!$C$4:$C$200,MATCH(E290,Товары!$B$4:$B$200,0)),0))</f>
        <v/>
      </c>
      <c r="M290" s="32" t="str">
        <f aca="false">IF(I290="","",I290-L290)</f>
        <v/>
      </c>
      <c r="N290" s="28"/>
      <c r="O290" s="28"/>
      <c r="P290" s="28"/>
      <c r="Q290" s="28"/>
      <c r="R290" s="35"/>
      <c r="S290" s="28"/>
    </row>
    <row r="291" customFormat="false" ht="15" hidden="false" customHeight="false" outlineLevel="0" collapsed="false">
      <c r="A291" s="34" t="str">
        <f aca="false">IF(E291="","",ROW()-3)</f>
        <v/>
      </c>
      <c r="B291" s="35"/>
      <c r="C291" s="28"/>
      <c r="D291" s="28"/>
      <c r="E291" s="28"/>
      <c r="F291" s="28"/>
      <c r="G291" s="32" t="str">
        <f aca="false">IF(E291="","",IFERROR(INDEX(Товары!$D$4:$D$200,MATCH(E291,Товары!$B$4:$B$200,0)),0))</f>
        <v/>
      </c>
      <c r="H291" s="29"/>
      <c r="I291" s="32" t="str">
        <f aca="false">IF(OR(E291="",F291=""),"",F291*G291-N(H291))</f>
        <v/>
      </c>
      <c r="J291" s="29"/>
      <c r="K291" s="32" t="str">
        <f aca="false">IF(AND(I291="",N(J291)=0),"",N(I291)+N(J291))</f>
        <v/>
      </c>
      <c r="L291" s="32" t="str">
        <f aca="false">IF(OR(E291="",F291=""),"",F291*IFERROR(INDEX(Товары!$C$4:$C$200,MATCH(E291,Товары!$B$4:$B$200,0)),0))</f>
        <v/>
      </c>
      <c r="M291" s="32" t="str">
        <f aca="false">IF(I291="","",I291-L291)</f>
        <v/>
      </c>
      <c r="N291" s="28"/>
      <c r="O291" s="28"/>
      <c r="P291" s="28"/>
      <c r="Q291" s="28"/>
      <c r="R291" s="35"/>
      <c r="S291" s="28"/>
    </row>
    <row r="292" customFormat="false" ht="15" hidden="false" customHeight="false" outlineLevel="0" collapsed="false">
      <c r="A292" s="34" t="str">
        <f aca="false">IF(E292="","",ROW()-3)</f>
        <v/>
      </c>
      <c r="B292" s="35"/>
      <c r="C292" s="28"/>
      <c r="D292" s="28"/>
      <c r="E292" s="28"/>
      <c r="F292" s="28"/>
      <c r="G292" s="32" t="str">
        <f aca="false">IF(E292="","",IFERROR(INDEX(Товары!$D$4:$D$200,MATCH(E292,Товары!$B$4:$B$200,0)),0))</f>
        <v/>
      </c>
      <c r="H292" s="29"/>
      <c r="I292" s="32" t="str">
        <f aca="false">IF(OR(E292="",F292=""),"",F292*G292-N(H292))</f>
        <v/>
      </c>
      <c r="J292" s="29"/>
      <c r="K292" s="32" t="str">
        <f aca="false">IF(AND(I292="",N(J292)=0),"",N(I292)+N(J292))</f>
        <v/>
      </c>
      <c r="L292" s="32" t="str">
        <f aca="false">IF(OR(E292="",F292=""),"",F292*IFERROR(INDEX(Товары!$C$4:$C$200,MATCH(E292,Товары!$B$4:$B$200,0)),0))</f>
        <v/>
      </c>
      <c r="M292" s="32" t="str">
        <f aca="false">IF(I292="","",I292-L292)</f>
        <v/>
      </c>
      <c r="N292" s="28"/>
      <c r="O292" s="28"/>
      <c r="P292" s="28"/>
      <c r="Q292" s="28"/>
      <c r="R292" s="35"/>
      <c r="S292" s="28"/>
    </row>
    <row r="293" customFormat="false" ht="15" hidden="false" customHeight="false" outlineLevel="0" collapsed="false">
      <c r="A293" s="34" t="str">
        <f aca="false">IF(E293="","",ROW()-3)</f>
        <v/>
      </c>
      <c r="B293" s="35"/>
      <c r="C293" s="28"/>
      <c r="D293" s="28"/>
      <c r="E293" s="28"/>
      <c r="F293" s="28"/>
      <c r="G293" s="32" t="str">
        <f aca="false">IF(E293="","",IFERROR(INDEX(Товары!$D$4:$D$200,MATCH(E293,Товары!$B$4:$B$200,0)),0))</f>
        <v/>
      </c>
      <c r="H293" s="29"/>
      <c r="I293" s="32" t="str">
        <f aca="false">IF(OR(E293="",F293=""),"",F293*G293-N(H293))</f>
        <v/>
      </c>
      <c r="J293" s="29"/>
      <c r="K293" s="32" t="str">
        <f aca="false">IF(AND(I293="",N(J293)=0),"",N(I293)+N(J293))</f>
        <v/>
      </c>
      <c r="L293" s="32" t="str">
        <f aca="false">IF(OR(E293="",F293=""),"",F293*IFERROR(INDEX(Товары!$C$4:$C$200,MATCH(E293,Товары!$B$4:$B$200,0)),0))</f>
        <v/>
      </c>
      <c r="M293" s="32" t="str">
        <f aca="false">IF(I293="","",I293-L293)</f>
        <v/>
      </c>
      <c r="N293" s="28"/>
      <c r="O293" s="28"/>
      <c r="P293" s="28"/>
      <c r="Q293" s="28"/>
      <c r="R293" s="35"/>
      <c r="S293" s="28"/>
    </row>
    <row r="294" customFormat="false" ht="15" hidden="false" customHeight="false" outlineLevel="0" collapsed="false">
      <c r="A294" s="34" t="str">
        <f aca="false">IF(E294="","",ROW()-3)</f>
        <v/>
      </c>
      <c r="B294" s="35"/>
      <c r="C294" s="28"/>
      <c r="D294" s="28"/>
      <c r="E294" s="28"/>
      <c r="F294" s="28"/>
      <c r="G294" s="32" t="str">
        <f aca="false">IF(E294="","",IFERROR(INDEX(Товары!$D$4:$D$200,MATCH(E294,Товары!$B$4:$B$200,0)),0))</f>
        <v/>
      </c>
      <c r="H294" s="29"/>
      <c r="I294" s="32" t="str">
        <f aca="false">IF(OR(E294="",F294=""),"",F294*G294-N(H294))</f>
        <v/>
      </c>
      <c r="J294" s="29"/>
      <c r="K294" s="32" t="str">
        <f aca="false">IF(AND(I294="",N(J294)=0),"",N(I294)+N(J294))</f>
        <v/>
      </c>
      <c r="L294" s="32" t="str">
        <f aca="false">IF(OR(E294="",F294=""),"",F294*IFERROR(INDEX(Товары!$C$4:$C$200,MATCH(E294,Товары!$B$4:$B$200,0)),0))</f>
        <v/>
      </c>
      <c r="M294" s="32" t="str">
        <f aca="false">IF(I294="","",I294-L294)</f>
        <v/>
      </c>
      <c r="N294" s="28"/>
      <c r="O294" s="28"/>
      <c r="P294" s="28"/>
      <c r="Q294" s="28"/>
      <c r="R294" s="35"/>
      <c r="S294" s="28"/>
    </row>
    <row r="295" customFormat="false" ht="15" hidden="false" customHeight="false" outlineLevel="0" collapsed="false">
      <c r="A295" s="34" t="str">
        <f aca="false">IF(E295="","",ROW()-3)</f>
        <v/>
      </c>
      <c r="B295" s="35"/>
      <c r="C295" s="28"/>
      <c r="D295" s="28"/>
      <c r="E295" s="28"/>
      <c r="F295" s="28"/>
      <c r="G295" s="32" t="str">
        <f aca="false">IF(E295="","",IFERROR(INDEX(Товары!$D$4:$D$200,MATCH(E295,Товары!$B$4:$B$200,0)),0))</f>
        <v/>
      </c>
      <c r="H295" s="29"/>
      <c r="I295" s="32" t="str">
        <f aca="false">IF(OR(E295="",F295=""),"",F295*G295-N(H295))</f>
        <v/>
      </c>
      <c r="J295" s="29"/>
      <c r="K295" s="32" t="str">
        <f aca="false">IF(AND(I295="",N(J295)=0),"",N(I295)+N(J295))</f>
        <v/>
      </c>
      <c r="L295" s="32" t="str">
        <f aca="false">IF(OR(E295="",F295=""),"",F295*IFERROR(INDEX(Товары!$C$4:$C$200,MATCH(E295,Товары!$B$4:$B$200,0)),0))</f>
        <v/>
      </c>
      <c r="M295" s="32" t="str">
        <f aca="false">IF(I295="","",I295-L295)</f>
        <v/>
      </c>
      <c r="N295" s="28"/>
      <c r="O295" s="28"/>
      <c r="P295" s="28"/>
      <c r="Q295" s="28"/>
      <c r="R295" s="35"/>
      <c r="S295" s="28"/>
    </row>
    <row r="296" customFormat="false" ht="15" hidden="false" customHeight="false" outlineLevel="0" collapsed="false">
      <c r="A296" s="34" t="str">
        <f aca="false">IF(E296="","",ROW()-3)</f>
        <v/>
      </c>
      <c r="B296" s="35"/>
      <c r="C296" s="28"/>
      <c r="D296" s="28"/>
      <c r="E296" s="28"/>
      <c r="F296" s="28"/>
      <c r="G296" s="32" t="str">
        <f aca="false">IF(E296="","",IFERROR(INDEX(Товары!$D$4:$D$200,MATCH(E296,Товары!$B$4:$B$200,0)),0))</f>
        <v/>
      </c>
      <c r="H296" s="29"/>
      <c r="I296" s="32" t="str">
        <f aca="false">IF(OR(E296="",F296=""),"",F296*G296-N(H296))</f>
        <v/>
      </c>
      <c r="J296" s="29"/>
      <c r="K296" s="32" t="str">
        <f aca="false">IF(AND(I296="",N(J296)=0),"",N(I296)+N(J296))</f>
        <v/>
      </c>
      <c r="L296" s="32" t="str">
        <f aca="false">IF(OR(E296="",F296=""),"",F296*IFERROR(INDEX(Товары!$C$4:$C$200,MATCH(E296,Товары!$B$4:$B$200,0)),0))</f>
        <v/>
      </c>
      <c r="M296" s="32" t="str">
        <f aca="false">IF(I296="","",I296-L296)</f>
        <v/>
      </c>
      <c r="N296" s="28"/>
      <c r="O296" s="28"/>
      <c r="P296" s="28"/>
      <c r="Q296" s="28"/>
      <c r="R296" s="35"/>
      <c r="S296" s="28"/>
    </row>
    <row r="297" customFormat="false" ht="15" hidden="false" customHeight="false" outlineLevel="0" collapsed="false">
      <c r="A297" s="34" t="str">
        <f aca="false">IF(E297="","",ROW()-3)</f>
        <v/>
      </c>
      <c r="B297" s="35"/>
      <c r="C297" s="28"/>
      <c r="D297" s="28"/>
      <c r="E297" s="28"/>
      <c r="F297" s="28"/>
      <c r="G297" s="32" t="str">
        <f aca="false">IF(E297="","",IFERROR(INDEX(Товары!$D$4:$D$200,MATCH(E297,Товары!$B$4:$B$200,0)),0))</f>
        <v/>
      </c>
      <c r="H297" s="29"/>
      <c r="I297" s="32" t="str">
        <f aca="false">IF(OR(E297="",F297=""),"",F297*G297-N(H297))</f>
        <v/>
      </c>
      <c r="J297" s="29"/>
      <c r="K297" s="32" t="str">
        <f aca="false">IF(AND(I297="",N(J297)=0),"",N(I297)+N(J297))</f>
        <v/>
      </c>
      <c r="L297" s="32" t="str">
        <f aca="false">IF(OR(E297="",F297=""),"",F297*IFERROR(INDEX(Товары!$C$4:$C$200,MATCH(E297,Товары!$B$4:$B$200,0)),0))</f>
        <v/>
      </c>
      <c r="M297" s="32" t="str">
        <f aca="false">IF(I297="","",I297-L297)</f>
        <v/>
      </c>
      <c r="N297" s="28"/>
      <c r="O297" s="28"/>
      <c r="P297" s="28"/>
      <c r="Q297" s="28"/>
      <c r="R297" s="35"/>
      <c r="S297" s="28"/>
    </row>
    <row r="298" customFormat="false" ht="15" hidden="false" customHeight="false" outlineLevel="0" collapsed="false">
      <c r="A298" s="34" t="str">
        <f aca="false">IF(E298="","",ROW()-3)</f>
        <v/>
      </c>
      <c r="B298" s="35"/>
      <c r="C298" s="28"/>
      <c r="D298" s="28"/>
      <c r="E298" s="28"/>
      <c r="F298" s="28"/>
      <c r="G298" s="32" t="str">
        <f aca="false">IF(E298="","",IFERROR(INDEX(Товары!$D$4:$D$200,MATCH(E298,Товары!$B$4:$B$200,0)),0))</f>
        <v/>
      </c>
      <c r="H298" s="29"/>
      <c r="I298" s="32" t="str">
        <f aca="false">IF(OR(E298="",F298=""),"",F298*G298-N(H298))</f>
        <v/>
      </c>
      <c r="J298" s="29"/>
      <c r="K298" s="32" t="str">
        <f aca="false">IF(AND(I298="",N(J298)=0),"",N(I298)+N(J298))</f>
        <v/>
      </c>
      <c r="L298" s="32" t="str">
        <f aca="false">IF(OR(E298="",F298=""),"",F298*IFERROR(INDEX(Товары!$C$4:$C$200,MATCH(E298,Товары!$B$4:$B$200,0)),0))</f>
        <v/>
      </c>
      <c r="M298" s="32" t="str">
        <f aca="false">IF(I298="","",I298-L298)</f>
        <v/>
      </c>
      <c r="N298" s="28"/>
      <c r="O298" s="28"/>
      <c r="P298" s="28"/>
      <c r="Q298" s="28"/>
      <c r="R298" s="35"/>
      <c r="S298" s="28"/>
    </row>
    <row r="299" customFormat="false" ht="15" hidden="false" customHeight="false" outlineLevel="0" collapsed="false">
      <c r="A299" s="34" t="str">
        <f aca="false">IF(E299="","",ROW()-3)</f>
        <v/>
      </c>
      <c r="B299" s="35"/>
      <c r="C299" s="28"/>
      <c r="D299" s="28"/>
      <c r="E299" s="28"/>
      <c r="F299" s="28"/>
      <c r="G299" s="32" t="str">
        <f aca="false">IF(E299="","",IFERROR(INDEX(Товары!$D$4:$D$200,MATCH(E299,Товары!$B$4:$B$200,0)),0))</f>
        <v/>
      </c>
      <c r="H299" s="29"/>
      <c r="I299" s="32" t="str">
        <f aca="false">IF(OR(E299="",F299=""),"",F299*G299-N(H299))</f>
        <v/>
      </c>
      <c r="J299" s="29"/>
      <c r="K299" s="32" t="str">
        <f aca="false">IF(AND(I299="",N(J299)=0),"",N(I299)+N(J299))</f>
        <v/>
      </c>
      <c r="L299" s="32" t="str">
        <f aca="false">IF(OR(E299="",F299=""),"",F299*IFERROR(INDEX(Товары!$C$4:$C$200,MATCH(E299,Товары!$B$4:$B$200,0)),0))</f>
        <v/>
      </c>
      <c r="M299" s="32" t="str">
        <f aca="false">IF(I299="","",I299-L299)</f>
        <v/>
      </c>
      <c r="N299" s="28"/>
      <c r="O299" s="28"/>
      <c r="P299" s="28"/>
      <c r="Q299" s="28"/>
      <c r="R299" s="35"/>
      <c r="S299" s="28"/>
    </row>
    <row r="300" customFormat="false" ht="15" hidden="false" customHeight="false" outlineLevel="0" collapsed="false">
      <c r="A300" s="34" t="str">
        <f aca="false">IF(E300="","",ROW()-3)</f>
        <v/>
      </c>
      <c r="B300" s="35"/>
      <c r="C300" s="28"/>
      <c r="D300" s="28"/>
      <c r="E300" s="28"/>
      <c r="F300" s="28"/>
      <c r="G300" s="32" t="str">
        <f aca="false">IF(E300="","",IFERROR(INDEX(Товары!$D$4:$D$200,MATCH(E300,Товары!$B$4:$B$200,0)),0))</f>
        <v/>
      </c>
      <c r="H300" s="29"/>
      <c r="I300" s="32" t="str">
        <f aca="false">IF(OR(E300="",F300=""),"",F300*G300-N(H300))</f>
        <v/>
      </c>
      <c r="J300" s="29"/>
      <c r="K300" s="32" t="str">
        <f aca="false">IF(AND(I300="",N(J300)=0),"",N(I300)+N(J300))</f>
        <v/>
      </c>
      <c r="L300" s="32" t="str">
        <f aca="false">IF(OR(E300="",F300=""),"",F300*IFERROR(INDEX(Товары!$C$4:$C$200,MATCH(E300,Товары!$B$4:$B$200,0)),0))</f>
        <v/>
      </c>
      <c r="M300" s="32" t="str">
        <f aca="false">IF(I300="","",I300-L300)</f>
        <v/>
      </c>
      <c r="N300" s="28"/>
      <c r="O300" s="28"/>
      <c r="P300" s="28"/>
      <c r="Q300" s="28"/>
      <c r="R300" s="35"/>
      <c r="S300" s="28"/>
    </row>
    <row r="301" customFormat="false" ht="15" hidden="false" customHeight="false" outlineLevel="0" collapsed="false">
      <c r="A301" s="34" t="str">
        <f aca="false">IF(E301="","",ROW()-3)</f>
        <v/>
      </c>
      <c r="B301" s="35"/>
      <c r="C301" s="28"/>
      <c r="D301" s="28"/>
      <c r="E301" s="28"/>
      <c r="F301" s="28"/>
      <c r="G301" s="32" t="str">
        <f aca="false">IF(E301="","",IFERROR(INDEX(Товары!$D$4:$D$200,MATCH(E301,Товары!$B$4:$B$200,0)),0))</f>
        <v/>
      </c>
      <c r="H301" s="29"/>
      <c r="I301" s="32" t="str">
        <f aca="false">IF(OR(E301="",F301=""),"",F301*G301-N(H301))</f>
        <v/>
      </c>
      <c r="J301" s="29"/>
      <c r="K301" s="32" t="str">
        <f aca="false">IF(AND(I301="",N(J301)=0),"",N(I301)+N(J301))</f>
        <v/>
      </c>
      <c r="L301" s="32" t="str">
        <f aca="false">IF(OR(E301="",F301=""),"",F301*IFERROR(INDEX(Товары!$C$4:$C$200,MATCH(E301,Товары!$B$4:$B$200,0)),0))</f>
        <v/>
      </c>
      <c r="M301" s="32" t="str">
        <f aca="false">IF(I301="","",I301-L301)</f>
        <v/>
      </c>
      <c r="N301" s="28"/>
      <c r="O301" s="28"/>
      <c r="P301" s="28"/>
      <c r="Q301" s="28"/>
      <c r="R301" s="35"/>
      <c r="S301" s="28"/>
    </row>
    <row r="302" customFormat="false" ht="15" hidden="false" customHeight="false" outlineLevel="0" collapsed="false">
      <c r="A302" s="34" t="str">
        <f aca="false">IF(E302="","",ROW()-3)</f>
        <v/>
      </c>
      <c r="B302" s="35"/>
      <c r="C302" s="28"/>
      <c r="D302" s="28"/>
      <c r="E302" s="28"/>
      <c r="F302" s="28"/>
      <c r="G302" s="32" t="str">
        <f aca="false">IF(E302="","",IFERROR(INDEX(Товары!$D$4:$D$200,MATCH(E302,Товары!$B$4:$B$200,0)),0))</f>
        <v/>
      </c>
      <c r="H302" s="29"/>
      <c r="I302" s="32" t="str">
        <f aca="false">IF(OR(E302="",F302=""),"",F302*G302-N(H302))</f>
        <v/>
      </c>
      <c r="J302" s="29"/>
      <c r="K302" s="32" t="str">
        <f aca="false">IF(AND(I302="",N(J302)=0),"",N(I302)+N(J302))</f>
        <v/>
      </c>
      <c r="L302" s="32" t="str">
        <f aca="false">IF(OR(E302="",F302=""),"",F302*IFERROR(INDEX(Товары!$C$4:$C$200,MATCH(E302,Товары!$B$4:$B$200,0)),0))</f>
        <v/>
      </c>
      <c r="M302" s="32" t="str">
        <f aca="false">IF(I302="","",I302-L302)</f>
        <v/>
      </c>
      <c r="N302" s="28"/>
      <c r="O302" s="28"/>
      <c r="P302" s="28"/>
      <c r="Q302" s="28"/>
      <c r="R302" s="35"/>
      <c r="S302" s="28"/>
    </row>
    <row r="303" customFormat="false" ht="15" hidden="false" customHeight="false" outlineLevel="0" collapsed="false">
      <c r="A303" s="34" t="str">
        <f aca="false">IF(E303="","",ROW()-3)</f>
        <v/>
      </c>
      <c r="B303" s="35"/>
      <c r="C303" s="28"/>
      <c r="D303" s="28"/>
      <c r="E303" s="28"/>
      <c r="F303" s="28"/>
      <c r="G303" s="32" t="str">
        <f aca="false">IF(E303="","",IFERROR(INDEX(Товары!$D$4:$D$200,MATCH(E303,Товары!$B$4:$B$200,0)),0))</f>
        <v/>
      </c>
      <c r="H303" s="29"/>
      <c r="I303" s="32" t="str">
        <f aca="false">IF(OR(E303="",F303=""),"",F303*G303-N(H303))</f>
        <v/>
      </c>
      <c r="J303" s="29"/>
      <c r="K303" s="32" t="str">
        <f aca="false">IF(AND(I303="",N(J303)=0),"",N(I303)+N(J303))</f>
        <v/>
      </c>
      <c r="L303" s="32" t="str">
        <f aca="false">IF(OR(E303="",F303=""),"",F303*IFERROR(INDEX(Товары!$C$4:$C$200,MATCH(E303,Товары!$B$4:$B$200,0)),0))</f>
        <v/>
      </c>
      <c r="M303" s="32" t="str">
        <f aca="false">IF(I303="","",I303-L303)</f>
        <v/>
      </c>
      <c r="N303" s="28"/>
      <c r="O303" s="28"/>
      <c r="P303" s="28"/>
      <c r="Q303" s="28"/>
      <c r="R303" s="35"/>
      <c r="S303" s="28"/>
    </row>
    <row r="304" customFormat="false" ht="15" hidden="false" customHeight="false" outlineLevel="0" collapsed="false">
      <c r="A304" s="34" t="str">
        <f aca="false">IF(E304="","",ROW()-3)</f>
        <v/>
      </c>
      <c r="B304" s="35"/>
      <c r="C304" s="28"/>
      <c r="D304" s="28"/>
      <c r="E304" s="28"/>
      <c r="F304" s="28"/>
      <c r="G304" s="32" t="str">
        <f aca="false">IF(E304="","",IFERROR(INDEX(Товары!$D$4:$D$200,MATCH(E304,Товары!$B$4:$B$200,0)),0))</f>
        <v/>
      </c>
      <c r="H304" s="29"/>
      <c r="I304" s="32" t="str">
        <f aca="false">IF(OR(E304="",F304=""),"",F304*G304-N(H304))</f>
        <v/>
      </c>
      <c r="J304" s="29"/>
      <c r="K304" s="32" t="str">
        <f aca="false">IF(AND(I304="",N(J304)=0),"",N(I304)+N(J304))</f>
        <v/>
      </c>
      <c r="L304" s="32" t="str">
        <f aca="false">IF(OR(E304="",F304=""),"",F304*IFERROR(INDEX(Товары!$C$4:$C$200,MATCH(E304,Товары!$B$4:$B$200,0)),0))</f>
        <v/>
      </c>
      <c r="M304" s="32" t="str">
        <f aca="false">IF(I304="","",I304-L304)</f>
        <v/>
      </c>
      <c r="N304" s="28"/>
      <c r="O304" s="28"/>
      <c r="P304" s="28"/>
      <c r="Q304" s="28"/>
      <c r="R304" s="35"/>
      <c r="S304" s="28"/>
    </row>
    <row r="305" customFormat="false" ht="15" hidden="false" customHeight="false" outlineLevel="0" collapsed="false">
      <c r="A305" s="34" t="str">
        <f aca="false">IF(E305="","",ROW()-3)</f>
        <v/>
      </c>
      <c r="B305" s="35"/>
      <c r="C305" s="28"/>
      <c r="D305" s="28"/>
      <c r="E305" s="28"/>
      <c r="F305" s="28"/>
      <c r="G305" s="32" t="str">
        <f aca="false">IF(E305="","",IFERROR(INDEX(Товары!$D$4:$D$200,MATCH(E305,Товары!$B$4:$B$200,0)),0))</f>
        <v/>
      </c>
      <c r="H305" s="29"/>
      <c r="I305" s="32" t="str">
        <f aca="false">IF(OR(E305="",F305=""),"",F305*G305-N(H305))</f>
        <v/>
      </c>
      <c r="J305" s="29"/>
      <c r="K305" s="32" t="str">
        <f aca="false">IF(AND(I305="",N(J305)=0),"",N(I305)+N(J305))</f>
        <v/>
      </c>
      <c r="L305" s="32" t="str">
        <f aca="false">IF(OR(E305="",F305=""),"",F305*IFERROR(INDEX(Товары!$C$4:$C$200,MATCH(E305,Товары!$B$4:$B$200,0)),0))</f>
        <v/>
      </c>
      <c r="M305" s="32" t="str">
        <f aca="false">IF(I305="","",I305-L305)</f>
        <v/>
      </c>
      <c r="N305" s="28"/>
      <c r="O305" s="28"/>
      <c r="P305" s="28"/>
      <c r="Q305" s="28"/>
      <c r="R305" s="35"/>
      <c r="S305" s="28"/>
    </row>
    <row r="306" customFormat="false" ht="15" hidden="false" customHeight="false" outlineLevel="0" collapsed="false">
      <c r="A306" s="34" t="str">
        <f aca="false">IF(E306="","",ROW()-3)</f>
        <v/>
      </c>
      <c r="B306" s="35"/>
      <c r="C306" s="28"/>
      <c r="D306" s="28"/>
      <c r="E306" s="28"/>
      <c r="F306" s="28"/>
      <c r="G306" s="32" t="str">
        <f aca="false">IF(E306="","",IFERROR(INDEX(Товары!$D$4:$D$200,MATCH(E306,Товары!$B$4:$B$200,0)),0))</f>
        <v/>
      </c>
      <c r="H306" s="29"/>
      <c r="I306" s="32" t="str">
        <f aca="false">IF(OR(E306="",F306=""),"",F306*G306-N(H306))</f>
        <v/>
      </c>
      <c r="J306" s="29"/>
      <c r="K306" s="32" t="str">
        <f aca="false">IF(AND(I306="",N(J306)=0),"",N(I306)+N(J306))</f>
        <v/>
      </c>
      <c r="L306" s="32" t="str">
        <f aca="false">IF(OR(E306="",F306=""),"",F306*IFERROR(INDEX(Товары!$C$4:$C$200,MATCH(E306,Товары!$B$4:$B$200,0)),0))</f>
        <v/>
      </c>
      <c r="M306" s="32" t="str">
        <f aca="false">IF(I306="","",I306-L306)</f>
        <v/>
      </c>
      <c r="N306" s="28"/>
      <c r="O306" s="28"/>
      <c r="P306" s="28"/>
      <c r="Q306" s="28"/>
      <c r="R306" s="35"/>
      <c r="S306" s="28"/>
    </row>
    <row r="307" customFormat="false" ht="15" hidden="false" customHeight="false" outlineLevel="0" collapsed="false">
      <c r="A307" s="34" t="str">
        <f aca="false">IF(E307="","",ROW()-3)</f>
        <v/>
      </c>
      <c r="B307" s="35"/>
      <c r="C307" s="28"/>
      <c r="D307" s="28"/>
      <c r="E307" s="28"/>
      <c r="F307" s="28"/>
      <c r="G307" s="32" t="str">
        <f aca="false">IF(E307="","",IFERROR(INDEX(Товары!$D$4:$D$200,MATCH(E307,Товары!$B$4:$B$200,0)),0))</f>
        <v/>
      </c>
      <c r="H307" s="29"/>
      <c r="I307" s="32" t="str">
        <f aca="false">IF(OR(E307="",F307=""),"",F307*G307-N(H307))</f>
        <v/>
      </c>
      <c r="J307" s="29"/>
      <c r="K307" s="32" t="str">
        <f aca="false">IF(AND(I307="",N(J307)=0),"",N(I307)+N(J307))</f>
        <v/>
      </c>
      <c r="L307" s="32" t="str">
        <f aca="false">IF(OR(E307="",F307=""),"",F307*IFERROR(INDEX(Товары!$C$4:$C$200,MATCH(E307,Товары!$B$4:$B$200,0)),0))</f>
        <v/>
      </c>
      <c r="M307" s="32" t="str">
        <f aca="false">IF(I307="","",I307-L307)</f>
        <v/>
      </c>
      <c r="N307" s="28"/>
      <c r="O307" s="28"/>
      <c r="P307" s="28"/>
      <c r="Q307" s="28"/>
      <c r="R307" s="35"/>
      <c r="S307" s="28"/>
    </row>
    <row r="308" customFormat="false" ht="15" hidden="false" customHeight="false" outlineLevel="0" collapsed="false">
      <c r="A308" s="34" t="str">
        <f aca="false">IF(E308="","",ROW()-3)</f>
        <v/>
      </c>
      <c r="B308" s="35"/>
      <c r="C308" s="28"/>
      <c r="D308" s="28"/>
      <c r="E308" s="28"/>
      <c r="F308" s="28"/>
      <c r="G308" s="32" t="str">
        <f aca="false">IF(E308="","",IFERROR(INDEX(Товары!$D$4:$D$200,MATCH(E308,Товары!$B$4:$B$200,0)),0))</f>
        <v/>
      </c>
      <c r="H308" s="29"/>
      <c r="I308" s="32" t="str">
        <f aca="false">IF(OR(E308="",F308=""),"",F308*G308-N(H308))</f>
        <v/>
      </c>
      <c r="J308" s="29"/>
      <c r="K308" s="32" t="str">
        <f aca="false">IF(AND(I308="",N(J308)=0),"",N(I308)+N(J308))</f>
        <v/>
      </c>
      <c r="L308" s="32" t="str">
        <f aca="false">IF(OR(E308="",F308=""),"",F308*IFERROR(INDEX(Товары!$C$4:$C$200,MATCH(E308,Товары!$B$4:$B$200,0)),0))</f>
        <v/>
      </c>
      <c r="M308" s="32" t="str">
        <f aca="false">IF(I308="","",I308-L308)</f>
        <v/>
      </c>
      <c r="N308" s="28"/>
      <c r="O308" s="28"/>
      <c r="P308" s="28"/>
      <c r="Q308" s="28"/>
      <c r="R308" s="35"/>
      <c r="S308" s="28"/>
    </row>
    <row r="309" customFormat="false" ht="15" hidden="false" customHeight="false" outlineLevel="0" collapsed="false">
      <c r="A309" s="34" t="str">
        <f aca="false">IF(E309="","",ROW()-3)</f>
        <v/>
      </c>
      <c r="B309" s="35"/>
      <c r="C309" s="28"/>
      <c r="D309" s="28"/>
      <c r="E309" s="28"/>
      <c r="F309" s="28"/>
      <c r="G309" s="32" t="str">
        <f aca="false">IF(E309="","",IFERROR(INDEX(Товары!$D$4:$D$200,MATCH(E309,Товары!$B$4:$B$200,0)),0))</f>
        <v/>
      </c>
      <c r="H309" s="29"/>
      <c r="I309" s="32" t="str">
        <f aca="false">IF(OR(E309="",F309=""),"",F309*G309-N(H309))</f>
        <v/>
      </c>
      <c r="J309" s="29"/>
      <c r="K309" s="32" t="str">
        <f aca="false">IF(AND(I309="",N(J309)=0),"",N(I309)+N(J309))</f>
        <v/>
      </c>
      <c r="L309" s="32" t="str">
        <f aca="false">IF(OR(E309="",F309=""),"",F309*IFERROR(INDEX(Товары!$C$4:$C$200,MATCH(E309,Товары!$B$4:$B$200,0)),0))</f>
        <v/>
      </c>
      <c r="M309" s="32" t="str">
        <f aca="false">IF(I309="","",I309-L309)</f>
        <v/>
      </c>
      <c r="N309" s="28"/>
      <c r="O309" s="28"/>
      <c r="P309" s="28"/>
      <c r="Q309" s="28"/>
      <c r="R309" s="35"/>
      <c r="S309" s="28"/>
    </row>
    <row r="310" customFormat="false" ht="15" hidden="false" customHeight="false" outlineLevel="0" collapsed="false">
      <c r="A310" s="34" t="str">
        <f aca="false">IF(E310="","",ROW()-3)</f>
        <v/>
      </c>
      <c r="B310" s="35"/>
      <c r="C310" s="28"/>
      <c r="D310" s="28"/>
      <c r="E310" s="28"/>
      <c r="F310" s="28"/>
      <c r="G310" s="32" t="str">
        <f aca="false">IF(E310="","",IFERROR(INDEX(Товары!$D$4:$D$200,MATCH(E310,Товары!$B$4:$B$200,0)),0))</f>
        <v/>
      </c>
      <c r="H310" s="29"/>
      <c r="I310" s="32" t="str">
        <f aca="false">IF(OR(E310="",F310=""),"",F310*G310-N(H310))</f>
        <v/>
      </c>
      <c r="J310" s="29"/>
      <c r="K310" s="32" t="str">
        <f aca="false">IF(AND(I310="",N(J310)=0),"",N(I310)+N(J310))</f>
        <v/>
      </c>
      <c r="L310" s="32" t="str">
        <f aca="false">IF(OR(E310="",F310=""),"",F310*IFERROR(INDEX(Товары!$C$4:$C$200,MATCH(E310,Товары!$B$4:$B$200,0)),0))</f>
        <v/>
      </c>
      <c r="M310" s="32" t="str">
        <f aca="false">IF(I310="","",I310-L310)</f>
        <v/>
      </c>
      <c r="N310" s="28"/>
      <c r="O310" s="28"/>
      <c r="P310" s="28"/>
      <c r="Q310" s="28"/>
      <c r="R310" s="35"/>
      <c r="S310" s="28"/>
    </row>
    <row r="311" customFormat="false" ht="15" hidden="false" customHeight="false" outlineLevel="0" collapsed="false">
      <c r="A311" s="34" t="str">
        <f aca="false">IF(E311="","",ROW()-3)</f>
        <v/>
      </c>
      <c r="B311" s="35"/>
      <c r="C311" s="28"/>
      <c r="D311" s="28"/>
      <c r="E311" s="28"/>
      <c r="F311" s="28"/>
      <c r="G311" s="32" t="str">
        <f aca="false">IF(E311="","",IFERROR(INDEX(Товары!$D$4:$D$200,MATCH(E311,Товары!$B$4:$B$200,0)),0))</f>
        <v/>
      </c>
      <c r="H311" s="29"/>
      <c r="I311" s="32" t="str">
        <f aca="false">IF(OR(E311="",F311=""),"",F311*G311-N(H311))</f>
        <v/>
      </c>
      <c r="J311" s="29"/>
      <c r="K311" s="32" t="str">
        <f aca="false">IF(AND(I311="",N(J311)=0),"",N(I311)+N(J311))</f>
        <v/>
      </c>
      <c r="L311" s="32" t="str">
        <f aca="false">IF(OR(E311="",F311=""),"",F311*IFERROR(INDEX(Товары!$C$4:$C$200,MATCH(E311,Товары!$B$4:$B$200,0)),0))</f>
        <v/>
      </c>
      <c r="M311" s="32" t="str">
        <f aca="false">IF(I311="","",I311-L311)</f>
        <v/>
      </c>
      <c r="N311" s="28"/>
      <c r="O311" s="28"/>
      <c r="P311" s="28"/>
      <c r="Q311" s="28"/>
      <c r="R311" s="35"/>
      <c r="S311" s="28"/>
    </row>
    <row r="312" customFormat="false" ht="15" hidden="false" customHeight="false" outlineLevel="0" collapsed="false">
      <c r="A312" s="34" t="str">
        <f aca="false">IF(E312="","",ROW()-3)</f>
        <v/>
      </c>
      <c r="B312" s="35"/>
      <c r="C312" s="28"/>
      <c r="D312" s="28"/>
      <c r="E312" s="28"/>
      <c r="F312" s="28"/>
      <c r="G312" s="32" t="str">
        <f aca="false">IF(E312="","",IFERROR(INDEX(Товары!$D$4:$D$200,MATCH(E312,Товары!$B$4:$B$200,0)),0))</f>
        <v/>
      </c>
      <c r="H312" s="29"/>
      <c r="I312" s="32" t="str">
        <f aca="false">IF(OR(E312="",F312=""),"",F312*G312-N(H312))</f>
        <v/>
      </c>
      <c r="J312" s="29"/>
      <c r="K312" s="32" t="str">
        <f aca="false">IF(AND(I312="",N(J312)=0),"",N(I312)+N(J312))</f>
        <v/>
      </c>
      <c r="L312" s="32" t="str">
        <f aca="false">IF(OR(E312="",F312=""),"",F312*IFERROR(INDEX(Товары!$C$4:$C$200,MATCH(E312,Товары!$B$4:$B$200,0)),0))</f>
        <v/>
      </c>
      <c r="M312" s="32" t="str">
        <f aca="false">IF(I312="","",I312-L312)</f>
        <v/>
      </c>
      <c r="N312" s="28"/>
      <c r="O312" s="28"/>
      <c r="P312" s="28"/>
      <c r="Q312" s="28"/>
      <c r="R312" s="35"/>
      <c r="S312" s="28"/>
    </row>
    <row r="313" customFormat="false" ht="15" hidden="false" customHeight="false" outlineLevel="0" collapsed="false">
      <c r="A313" s="34" t="str">
        <f aca="false">IF(E313="","",ROW()-3)</f>
        <v/>
      </c>
      <c r="B313" s="35"/>
      <c r="C313" s="28"/>
      <c r="D313" s="28"/>
      <c r="E313" s="28"/>
      <c r="F313" s="28"/>
      <c r="G313" s="32" t="str">
        <f aca="false">IF(E313="","",IFERROR(INDEX(Товары!$D$4:$D$200,MATCH(E313,Товары!$B$4:$B$200,0)),0))</f>
        <v/>
      </c>
      <c r="H313" s="29"/>
      <c r="I313" s="32" t="str">
        <f aca="false">IF(OR(E313="",F313=""),"",F313*G313-N(H313))</f>
        <v/>
      </c>
      <c r="J313" s="29"/>
      <c r="K313" s="32" t="str">
        <f aca="false">IF(AND(I313="",N(J313)=0),"",N(I313)+N(J313))</f>
        <v/>
      </c>
      <c r="L313" s="32" t="str">
        <f aca="false">IF(OR(E313="",F313=""),"",F313*IFERROR(INDEX(Товары!$C$4:$C$200,MATCH(E313,Товары!$B$4:$B$200,0)),0))</f>
        <v/>
      </c>
      <c r="M313" s="32" t="str">
        <f aca="false">IF(I313="","",I313-L313)</f>
        <v/>
      </c>
      <c r="N313" s="28"/>
      <c r="O313" s="28"/>
      <c r="P313" s="28"/>
      <c r="Q313" s="28"/>
      <c r="R313" s="35"/>
      <c r="S313" s="28"/>
    </row>
    <row r="314" customFormat="false" ht="15" hidden="false" customHeight="false" outlineLevel="0" collapsed="false">
      <c r="A314" s="34" t="str">
        <f aca="false">IF(E314="","",ROW()-3)</f>
        <v/>
      </c>
      <c r="B314" s="35"/>
      <c r="C314" s="28"/>
      <c r="D314" s="28"/>
      <c r="E314" s="28"/>
      <c r="F314" s="28"/>
      <c r="G314" s="32" t="str">
        <f aca="false">IF(E314="","",IFERROR(INDEX(Товары!$D$4:$D$200,MATCH(E314,Товары!$B$4:$B$200,0)),0))</f>
        <v/>
      </c>
      <c r="H314" s="29"/>
      <c r="I314" s="32" t="str">
        <f aca="false">IF(OR(E314="",F314=""),"",F314*G314-N(H314))</f>
        <v/>
      </c>
      <c r="J314" s="29"/>
      <c r="K314" s="32" t="str">
        <f aca="false">IF(AND(I314="",N(J314)=0),"",N(I314)+N(J314))</f>
        <v/>
      </c>
      <c r="L314" s="32" t="str">
        <f aca="false">IF(OR(E314="",F314=""),"",F314*IFERROR(INDEX(Товары!$C$4:$C$200,MATCH(E314,Товары!$B$4:$B$200,0)),0))</f>
        <v/>
      </c>
      <c r="M314" s="32" t="str">
        <f aca="false">IF(I314="","",I314-L314)</f>
        <v/>
      </c>
      <c r="N314" s="28"/>
      <c r="O314" s="28"/>
      <c r="P314" s="28"/>
      <c r="Q314" s="28"/>
      <c r="R314" s="35"/>
      <c r="S314" s="28"/>
    </row>
    <row r="315" customFormat="false" ht="15" hidden="false" customHeight="false" outlineLevel="0" collapsed="false">
      <c r="A315" s="34" t="str">
        <f aca="false">IF(E315="","",ROW()-3)</f>
        <v/>
      </c>
      <c r="B315" s="35"/>
      <c r="C315" s="28"/>
      <c r="D315" s="28"/>
      <c r="E315" s="28"/>
      <c r="F315" s="28"/>
      <c r="G315" s="32" t="str">
        <f aca="false">IF(E315="","",IFERROR(INDEX(Товары!$D$4:$D$200,MATCH(E315,Товары!$B$4:$B$200,0)),0))</f>
        <v/>
      </c>
      <c r="H315" s="29"/>
      <c r="I315" s="32" t="str">
        <f aca="false">IF(OR(E315="",F315=""),"",F315*G315-N(H315))</f>
        <v/>
      </c>
      <c r="J315" s="29"/>
      <c r="K315" s="32" t="str">
        <f aca="false">IF(AND(I315="",N(J315)=0),"",N(I315)+N(J315))</f>
        <v/>
      </c>
      <c r="L315" s="32" t="str">
        <f aca="false">IF(OR(E315="",F315=""),"",F315*IFERROR(INDEX(Товары!$C$4:$C$200,MATCH(E315,Товары!$B$4:$B$200,0)),0))</f>
        <v/>
      </c>
      <c r="M315" s="32" t="str">
        <f aca="false">IF(I315="","",I315-L315)</f>
        <v/>
      </c>
      <c r="N315" s="28"/>
      <c r="O315" s="28"/>
      <c r="P315" s="28"/>
      <c r="Q315" s="28"/>
      <c r="R315" s="35"/>
      <c r="S315" s="28"/>
    </row>
    <row r="316" customFormat="false" ht="15" hidden="false" customHeight="false" outlineLevel="0" collapsed="false">
      <c r="A316" s="34" t="str">
        <f aca="false">IF(E316="","",ROW()-3)</f>
        <v/>
      </c>
      <c r="B316" s="35"/>
      <c r="C316" s="28"/>
      <c r="D316" s="28"/>
      <c r="E316" s="28"/>
      <c r="F316" s="28"/>
      <c r="G316" s="32" t="str">
        <f aca="false">IF(E316="","",IFERROR(INDEX(Товары!$D$4:$D$200,MATCH(E316,Товары!$B$4:$B$200,0)),0))</f>
        <v/>
      </c>
      <c r="H316" s="29"/>
      <c r="I316" s="32" t="str">
        <f aca="false">IF(OR(E316="",F316=""),"",F316*G316-N(H316))</f>
        <v/>
      </c>
      <c r="J316" s="29"/>
      <c r="K316" s="32" t="str">
        <f aca="false">IF(AND(I316="",N(J316)=0),"",N(I316)+N(J316))</f>
        <v/>
      </c>
      <c r="L316" s="32" t="str">
        <f aca="false">IF(OR(E316="",F316=""),"",F316*IFERROR(INDEX(Товары!$C$4:$C$200,MATCH(E316,Товары!$B$4:$B$200,0)),0))</f>
        <v/>
      </c>
      <c r="M316" s="32" t="str">
        <f aca="false">IF(I316="","",I316-L316)</f>
        <v/>
      </c>
      <c r="N316" s="28"/>
      <c r="O316" s="28"/>
      <c r="P316" s="28"/>
      <c r="Q316" s="28"/>
      <c r="R316" s="35"/>
      <c r="S316" s="28"/>
    </row>
    <row r="317" customFormat="false" ht="15" hidden="false" customHeight="false" outlineLevel="0" collapsed="false">
      <c r="A317" s="34" t="str">
        <f aca="false">IF(E317="","",ROW()-3)</f>
        <v/>
      </c>
      <c r="B317" s="35"/>
      <c r="C317" s="28"/>
      <c r="D317" s="28"/>
      <c r="E317" s="28"/>
      <c r="F317" s="28"/>
      <c r="G317" s="32" t="str">
        <f aca="false">IF(E317="","",IFERROR(INDEX(Товары!$D$4:$D$200,MATCH(E317,Товары!$B$4:$B$200,0)),0))</f>
        <v/>
      </c>
      <c r="H317" s="29"/>
      <c r="I317" s="32" t="str">
        <f aca="false">IF(OR(E317="",F317=""),"",F317*G317-N(H317))</f>
        <v/>
      </c>
      <c r="J317" s="29"/>
      <c r="K317" s="32" t="str">
        <f aca="false">IF(AND(I317="",N(J317)=0),"",N(I317)+N(J317))</f>
        <v/>
      </c>
      <c r="L317" s="32" t="str">
        <f aca="false">IF(OR(E317="",F317=""),"",F317*IFERROR(INDEX(Товары!$C$4:$C$200,MATCH(E317,Товары!$B$4:$B$200,0)),0))</f>
        <v/>
      </c>
      <c r="M317" s="32" t="str">
        <f aca="false">IF(I317="","",I317-L317)</f>
        <v/>
      </c>
      <c r="N317" s="28"/>
      <c r="O317" s="28"/>
      <c r="P317" s="28"/>
      <c r="Q317" s="28"/>
      <c r="R317" s="35"/>
      <c r="S317" s="28"/>
    </row>
    <row r="318" customFormat="false" ht="15" hidden="false" customHeight="false" outlineLevel="0" collapsed="false">
      <c r="A318" s="34" t="str">
        <f aca="false">IF(E318="","",ROW()-3)</f>
        <v/>
      </c>
      <c r="B318" s="35"/>
      <c r="C318" s="28"/>
      <c r="D318" s="28"/>
      <c r="E318" s="28"/>
      <c r="F318" s="28"/>
      <c r="G318" s="32" t="str">
        <f aca="false">IF(E318="","",IFERROR(INDEX(Товары!$D$4:$D$200,MATCH(E318,Товары!$B$4:$B$200,0)),0))</f>
        <v/>
      </c>
      <c r="H318" s="29"/>
      <c r="I318" s="32" t="str">
        <f aca="false">IF(OR(E318="",F318=""),"",F318*G318-N(H318))</f>
        <v/>
      </c>
      <c r="J318" s="29"/>
      <c r="K318" s="32" t="str">
        <f aca="false">IF(AND(I318="",N(J318)=0),"",N(I318)+N(J318))</f>
        <v/>
      </c>
      <c r="L318" s="32" t="str">
        <f aca="false">IF(OR(E318="",F318=""),"",F318*IFERROR(INDEX(Товары!$C$4:$C$200,MATCH(E318,Товары!$B$4:$B$200,0)),0))</f>
        <v/>
      </c>
      <c r="M318" s="32" t="str">
        <f aca="false">IF(I318="","",I318-L318)</f>
        <v/>
      </c>
      <c r="N318" s="28"/>
      <c r="O318" s="28"/>
      <c r="P318" s="28"/>
      <c r="Q318" s="28"/>
      <c r="R318" s="35"/>
      <c r="S318" s="28"/>
    </row>
    <row r="319" customFormat="false" ht="15" hidden="false" customHeight="false" outlineLevel="0" collapsed="false">
      <c r="A319" s="34" t="str">
        <f aca="false">IF(E319="","",ROW()-3)</f>
        <v/>
      </c>
      <c r="B319" s="35"/>
      <c r="C319" s="28"/>
      <c r="D319" s="28"/>
      <c r="E319" s="28"/>
      <c r="F319" s="28"/>
      <c r="G319" s="32" t="str">
        <f aca="false">IF(E319="","",IFERROR(INDEX(Товары!$D$4:$D$200,MATCH(E319,Товары!$B$4:$B$200,0)),0))</f>
        <v/>
      </c>
      <c r="H319" s="29"/>
      <c r="I319" s="32" t="str">
        <f aca="false">IF(OR(E319="",F319=""),"",F319*G319-N(H319))</f>
        <v/>
      </c>
      <c r="J319" s="29"/>
      <c r="K319" s="32" t="str">
        <f aca="false">IF(AND(I319="",N(J319)=0),"",N(I319)+N(J319))</f>
        <v/>
      </c>
      <c r="L319" s="32" t="str">
        <f aca="false">IF(OR(E319="",F319=""),"",F319*IFERROR(INDEX(Товары!$C$4:$C$200,MATCH(E319,Товары!$B$4:$B$200,0)),0))</f>
        <v/>
      </c>
      <c r="M319" s="32" t="str">
        <f aca="false">IF(I319="","",I319-L319)</f>
        <v/>
      </c>
      <c r="N319" s="28"/>
      <c r="O319" s="28"/>
      <c r="P319" s="28"/>
      <c r="Q319" s="28"/>
      <c r="R319" s="35"/>
      <c r="S319" s="28"/>
    </row>
    <row r="320" customFormat="false" ht="15" hidden="false" customHeight="false" outlineLevel="0" collapsed="false">
      <c r="A320" s="34" t="str">
        <f aca="false">IF(E320="","",ROW()-3)</f>
        <v/>
      </c>
      <c r="B320" s="35"/>
      <c r="C320" s="28"/>
      <c r="D320" s="28"/>
      <c r="E320" s="28"/>
      <c r="F320" s="28"/>
      <c r="G320" s="32" t="str">
        <f aca="false">IF(E320="","",IFERROR(INDEX(Товары!$D$4:$D$200,MATCH(E320,Товары!$B$4:$B$200,0)),0))</f>
        <v/>
      </c>
      <c r="H320" s="29"/>
      <c r="I320" s="32" t="str">
        <f aca="false">IF(OR(E320="",F320=""),"",F320*G320-N(H320))</f>
        <v/>
      </c>
      <c r="J320" s="29"/>
      <c r="K320" s="32" t="str">
        <f aca="false">IF(AND(I320="",N(J320)=0),"",N(I320)+N(J320))</f>
        <v/>
      </c>
      <c r="L320" s="32" t="str">
        <f aca="false">IF(OR(E320="",F320=""),"",F320*IFERROR(INDEX(Товары!$C$4:$C$200,MATCH(E320,Товары!$B$4:$B$200,0)),0))</f>
        <v/>
      </c>
      <c r="M320" s="32" t="str">
        <f aca="false">IF(I320="","",I320-L320)</f>
        <v/>
      </c>
      <c r="N320" s="28"/>
      <c r="O320" s="28"/>
      <c r="P320" s="28"/>
      <c r="Q320" s="28"/>
      <c r="R320" s="35"/>
      <c r="S320" s="28"/>
    </row>
    <row r="321" customFormat="false" ht="15" hidden="false" customHeight="false" outlineLevel="0" collapsed="false">
      <c r="A321" s="34" t="str">
        <f aca="false">IF(E321="","",ROW()-3)</f>
        <v/>
      </c>
      <c r="B321" s="35"/>
      <c r="C321" s="28"/>
      <c r="D321" s="28"/>
      <c r="E321" s="28"/>
      <c r="F321" s="28"/>
      <c r="G321" s="32" t="str">
        <f aca="false">IF(E321="","",IFERROR(INDEX(Товары!$D$4:$D$200,MATCH(E321,Товары!$B$4:$B$200,0)),0))</f>
        <v/>
      </c>
      <c r="H321" s="29"/>
      <c r="I321" s="32" t="str">
        <f aca="false">IF(OR(E321="",F321=""),"",F321*G321-N(H321))</f>
        <v/>
      </c>
      <c r="J321" s="29"/>
      <c r="K321" s="32" t="str">
        <f aca="false">IF(AND(I321="",N(J321)=0),"",N(I321)+N(J321))</f>
        <v/>
      </c>
      <c r="L321" s="32" t="str">
        <f aca="false">IF(OR(E321="",F321=""),"",F321*IFERROR(INDEX(Товары!$C$4:$C$200,MATCH(E321,Товары!$B$4:$B$200,0)),0))</f>
        <v/>
      </c>
      <c r="M321" s="32" t="str">
        <f aca="false">IF(I321="","",I321-L321)</f>
        <v/>
      </c>
      <c r="N321" s="28"/>
      <c r="O321" s="28"/>
      <c r="P321" s="28"/>
      <c r="Q321" s="28"/>
      <c r="R321" s="35"/>
      <c r="S321" s="28"/>
    </row>
    <row r="322" customFormat="false" ht="15" hidden="false" customHeight="false" outlineLevel="0" collapsed="false">
      <c r="A322" s="34" t="str">
        <f aca="false">IF(E322="","",ROW()-3)</f>
        <v/>
      </c>
      <c r="B322" s="35"/>
      <c r="C322" s="28"/>
      <c r="D322" s="28"/>
      <c r="E322" s="28"/>
      <c r="F322" s="28"/>
      <c r="G322" s="32" t="str">
        <f aca="false">IF(E322="","",IFERROR(INDEX(Товары!$D$4:$D$200,MATCH(E322,Товары!$B$4:$B$200,0)),0))</f>
        <v/>
      </c>
      <c r="H322" s="29"/>
      <c r="I322" s="32" t="str">
        <f aca="false">IF(OR(E322="",F322=""),"",F322*G322-N(H322))</f>
        <v/>
      </c>
      <c r="J322" s="29"/>
      <c r="K322" s="32" t="str">
        <f aca="false">IF(AND(I322="",N(J322)=0),"",N(I322)+N(J322))</f>
        <v/>
      </c>
      <c r="L322" s="32" t="str">
        <f aca="false">IF(OR(E322="",F322=""),"",F322*IFERROR(INDEX(Товары!$C$4:$C$200,MATCH(E322,Товары!$B$4:$B$200,0)),0))</f>
        <v/>
      </c>
      <c r="M322" s="32" t="str">
        <f aca="false">IF(I322="","",I322-L322)</f>
        <v/>
      </c>
      <c r="N322" s="28"/>
      <c r="O322" s="28"/>
      <c r="P322" s="28"/>
      <c r="Q322" s="28"/>
      <c r="R322" s="35"/>
      <c r="S322" s="28"/>
    </row>
    <row r="323" customFormat="false" ht="15" hidden="false" customHeight="false" outlineLevel="0" collapsed="false">
      <c r="A323" s="34" t="str">
        <f aca="false">IF(E323="","",ROW()-3)</f>
        <v/>
      </c>
      <c r="B323" s="35"/>
      <c r="C323" s="28"/>
      <c r="D323" s="28"/>
      <c r="E323" s="28"/>
      <c r="F323" s="28"/>
      <c r="G323" s="32" t="str">
        <f aca="false">IF(E323="","",IFERROR(INDEX(Товары!$D$4:$D$200,MATCH(E323,Товары!$B$4:$B$200,0)),0))</f>
        <v/>
      </c>
      <c r="H323" s="29"/>
      <c r="I323" s="32" t="str">
        <f aca="false">IF(OR(E323="",F323=""),"",F323*G323-N(H323))</f>
        <v/>
      </c>
      <c r="J323" s="29"/>
      <c r="K323" s="32" t="str">
        <f aca="false">IF(AND(I323="",N(J323)=0),"",N(I323)+N(J323))</f>
        <v/>
      </c>
      <c r="L323" s="32" t="str">
        <f aca="false">IF(OR(E323="",F323=""),"",F323*IFERROR(INDEX(Товары!$C$4:$C$200,MATCH(E323,Товары!$B$4:$B$200,0)),0))</f>
        <v/>
      </c>
      <c r="M323" s="32" t="str">
        <f aca="false">IF(I323="","",I323-L323)</f>
        <v/>
      </c>
      <c r="N323" s="28"/>
      <c r="O323" s="28"/>
      <c r="P323" s="28"/>
      <c r="Q323" s="28"/>
      <c r="R323" s="35"/>
      <c r="S323" s="28"/>
    </row>
    <row r="324" customFormat="false" ht="15" hidden="false" customHeight="false" outlineLevel="0" collapsed="false">
      <c r="A324" s="34" t="str">
        <f aca="false">IF(E324="","",ROW()-3)</f>
        <v/>
      </c>
      <c r="B324" s="35"/>
      <c r="C324" s="28"/>
      <c r="D324" s="28"/>
      <c r="E324" s="28"/>
      <c r="F324" s="28"/>
      <c r="G324" s="32" t="str">
        <f aca="false">IF(E324="","",IFERROR(INDEX(Товары!$D$4:$D$200,MATCH(E324,Товары!$B$4:$B$200,0)),0))</f>
        <v/>
      </c>
      <c r="H324" s="29"/>
      <c r="I324" s="32" t="str">
        <f aca="false">IF(OR(E324="",F324=""),"",F324*G324-N(H324))</f>
        <v/>
      </c>
      <c r="J324" s="29"/>
      <c r="K324" s="32" t="str">
        <f aca="false">IF(AND(I324="",N(J324)=0),"",N(I324)+N(J324))</f>
        <v/>
      </c>
      <c r="L324" s="32" t="str">
        <f aca="false">IF(OR(E324="",F324=""),"",F324*IFERROR(INDEX(Товары!$C$4:$C$200,MATCH(E324,Товары!$B$4:$B$200,0)),0))</f>
        <v/>
      </c>
      <c r="M324" s="32" t="str">
        <f aca="false">IF(I324="","",I324-L324)</f>
        <v/>
      </c>
      <c r="N324" s="28"/>
      <c r="O324" s="28"/>
      <c r="P324" s="28"/>
      <c r="Q324" s="28"/>
      <c r="R324" s="35"/>
      <c r="S324" s="28"/>
    </row>
    <row r="325" customFormat="false" ht="15" hidden="false" customHeight="false" outlineLevel="0" collapsed="false">
      <c r="A325" s="34" t="str">
        <f aca="false">IF(E325="","",ROW()-3)</f>
        <v/>
      </c>
      <c r="B325" s="35"/>
      <c r="C325" s="28"/>
      <c r="D325" s="28"/>
      <c r="E325" s="28"/>
      <c r="F325" s="28"/>
      <c r="G325" s="32" t="str">
        <f aca="false">IF(E325="","",IFERROR(INDEX(Товары!$D$4:$D$200,MATCH(E325,Товары!$B$4:$B$200,0)),0))</f>
        <v/>
      </c>
      <c r="H325" s="29"/>
      <c r="I325" s="32" t="str">
        <f aca="false">IF(OR(E325="",F325=""),"",F325*G325-N(H325))</f>
        <v/>
      </c>
      <c r="J325" s="29"/>
      <c r="K325" s="32" t="str">
        <f aca="false">IF(AND(I325="",N(J325)=0),"",N(I325)+N(J325))</f>
        <v/>
      </c>
      <c r="L325" s="32" t="str">
        <f aca="false">IF(OR(E325="",F325=""),"",F325*IFERROR(INDEX(Товары!$C$4:$C$200,MATCH(E325,Товары!$B$4:$B$200,0)),0))</f>
        <v/>
      </c>
      <c r="M325" s="32" t="str">
        <f aca="false">IF(I325="","",I325-L325)</f>
        <v/>
      </c>
      <c r="N325" s="28"/>
      <c r="O325" s="28"/>
      <c r="P325" s="28"/>
      <c r="Q325" s="28"/>
      <c r="R325" s="35"/>
      <c r="S325" s="28"/>
    </row>
    <row r="326" customFormat="false" ht="15" hidden="false" customHeight="false" outlineLevel="0" collapsed="false">
      <c r="A326" s="34" t="str">
        <f aca="false">IF(E326="","",ROW()-3)</f>
        <v/>
      </c>
      <c r="B326" s="35"/>
      <c r="C326" s="28"/>
      <c r="D326" s="28"/>
      <c r="E326" s="28"/>
      <c r="F326" s="28"/>
      <c r="G326" s="32" t="str">
        <f aca="false">IF(E326="","",IFERROR(INDEX(Товары!$D$4:$D$200,MATCH(E326,Товары!$B$4:$B$200,0)),0))</f>
        <v/>
      </c>
      <c r="H326" s="29"/>
      <c r="I326" s="32" t="str">
        <f aca="false">IF(OR(E326="",F326=""),"",F326*G326-N(H326))</f>
        <v/>
      </c>
      <c r="J326" s="29"/>
      <c r="K326" s="32" t="str">
        <f aca="false">IF(AND(I326="",N(J326)=0),"",N(I326)+N(J326))</f>
        <v/>
      </c>
      <c r="L326" s="32" t="str">
        <f aca="false">IF(OR(E326="",F326=""),"",F326*IFERROR(INDEX(Товары!$C$4:$C$200,MATCH(E326,Товары!$B$4:$B$200,0)),0))</f>
        <v/>
      </c>
      <c r="M326" s="32" t="str">
        <f aca="false">IF(I326="","",I326-L326)</f>
        <v/>
      </c>
      <c r="N326" s="28"/>
      <c r="O326" s="28"/>
      <c r="P326" s="28"/>
      <c r="Q326" s="28"/>
      <c r="R326" s="35"/>
      <c r="S326" s="28"/>
    </row>
    <row r="327" customFormat="false" ht="15" hidden="false" customHeight="false" outlineLevel="0" collapsed="false">
      <c r="A327" s="34" t="str">
        <f aca="false">IF(E327="","",ROW()-3)</f>
        <v/>
      </c>
      <c r="B327" s="35"/>
      <c r="C327" s="28"/>
      <c r="D327" s="28"/>
      <c r="E327" s="28"/>
      <c r="F327" s="28"/>
      <c r="G327" s="32" t="str">
        <f aca="false">IF(E327="","",IFERROR(INDEX(Товары!$D$4:$D$200,MATCH(E327,Товары!$B$4:$B$200,0)),0))</f>
        <v/>
      </c>
      <c r="H327" s="29"/>
      <c r="I327" s="32" t="str">
        <f aca="false">IF(OR(E327="",F327=""),"",F327*G327-N(H327))</f>
        <v/>
      </c>
      <c r="J327" s="29"/>
      <c r="K327" s="32" t="str">
        <f aca="false">IF(AND(I327="",N(J327)=0),"",N(I327)+N(J327))</f>
        <v/>
      </c>
      <c r="L327" s="32" t="str">
        <f aca="false">IF(OR(E327="",F327=""),"",F327*IFERROR(INDEX(Товары!$C$4:$C$200,MATCH(E327,Товары!$B$4:$B$200,0)),0))</f>
        <v/>
      </c>
      <c r="M327" s="32" t="str">
        <f aca="false">IF(I327="","",I327-L327)</f>
        <v/>
      </c>
      <c r="N327" s="28"/>
      <c r="O327" s="28"/>
      <c r="P327" s="28"/>
      <c r="Q327" s="28"/>
      <c r="R327" s="35"/>
      <c r="S327" s="28"/>
    </row>
    <row r="328" customFormat="false" ht="15" hidden="false" customHeight="false" outlineLevel="0" collapsed="false">
      <c r="A328" s="34" t="str">
        <f aca="false">IF(E328="","",ROW()-3)</f>
        <v/>
      </c>
      <c r="B328" s="35"/>
      <c r="C328" s="28"/>
      <c r="D328" s="28"/>
      <c r="E328" s="28"/>
      <c r="F328" s="28"/>
      <c r="G328" s="32" t="str">
        <f aca="false">IF(E328="","",IFERROR(INDEX(Товары!$D$4:$D$200,MATCH(E328,Товары!$B$4:$B$200,0)),0))</f>
        <v/>
      </c>
      <c r="H328" s="29"/>
      <c r="I328" s="32" t="str">
        <f aca="false">IF(OR(E328="",F328=""),"",F328*G328-N(H328))</f>
        <v/>
      </c>
      <c r="J328" s="29"/>
      <c r="K328" s="32" t="str">
        <f aca="false">IF(AND(I328="",N(J328)=0),"",N(I328)+N(J328))</f>
        <v/>
      </c>
      <c r="L328" s="32" t="str">
        <f aca="false">IF(OR(E328="",F328=""),"",F328*IFERROR(INDEX(Товары!$C$4:$C$200,MATCH(E328,Товары!$B$4:$B$200,0)),0))</f>
        <v/>
      </c>
      <c r="M328" s="32" t="str">
        <f aca="false">IF(I328="","",I328-L328)</f>
        <v/>
      </c>
      <c r="N328" s="28"/>
      <c r="O328" s="28"/>
      <c r="P328" s="28"/>
      <c r="Q328" s="28"/>
      <c r="R328" s="35"/>
      <c r="S328" s="28"/>
    </row>
    <row r="329" customFormat="false" ht="15" hidden="false" customHeight="false" outlineLevel="0" collapsed="false">
      <c r="A329" s="34" t="str">
        <f aca="false">IF(E329="","",ROW()-3)</f>
        <v/>
      </c>
      <c r="B329" s="35"/>
      <c r="C329" s="28"/>
      <c r="D329" s="28"/>
      <c r="E329" s="28"/>
      <c r="F329" s="28"/>
      <c r="G329" s="32" t="str">
        <f aca="false">IF(E329="","",IFERROR(INDEX(Товары!$D$4:$D$200,MATCH(E329,Товары!$B$4:$B$200,0)),0))</f>
        <v/>
      </c>
      <c r="H329" s="29"/>
      <c r="I329" s="32" t="str">
        <f aca="false">IF(OR(E329="",F329=""),"",F329*G329-N(H329))</f>
        <v/>
      </c>
      <c r="J329" s="29"/>
      <c r="K329" s="32" t="str">
        <f aca="false">IF(AND(I329="",N(J329)=0),"",N(I329)+N(J329))</f>
        <v/>
      </c>
      <c r="L329" s="32" t="str">
        <f aca="false">IF(OR(E329="",F329=""),"",F329*IFERROR(INDEX(Товары!$C$4:$C$200,MATCH(E329,Товары!$B$4:$B$200,0)),0))</f>
        <v/>
      </c>
      <c r="M329" s="32" t="str">
        <f aca="false">IF(I329="","",I329-L329)</f>
        <v/>
      </c>
      <c r="N329" s="28"/>
      <c r="O329" s="28"/>
      <c r="P329" s="28"/>
      <c r="Q329" s="28"/>
      <c r="R329" s="35"/>
      <c r="S329" s="28"/>
    </row>
    <row r="330" customFormat="false" ht="15" hidden="false" customHeight="false" outlineLevel="0" collapsed="false">
      <c r="A330" s="34" t="str">
        <f aca="false">IF(E330="","",ROW()-3)</f>
        <v/>
      </c>
      <c r="B330" s="35"/>
      <c r="C330" s="28"/>
      <c r="D330" s="28"/>
      <c r="E330" s="28"/>
      <c r="F330" s="28"/>
      <c r="G330" s="32" t="str">
        <f aca="false">IF(E330="","",IFERROR(INDEX(Товары!$D$4:$D$200,MATCH(E330,Товары!$B$4:$B$200,0)),0))</f>
        <v/>
      </c>
      <c r="H330" s="29"/>
      <c r="I330" s="32" t="str">
        <f aca="false">IF(OR(E330="",F330=""),"",F330*G330-N(H330))</f>
        <v/>
      </c>
      <c r="J330" s="29"/>
      <c r="K330" s="32" t="str">
        <f aca="false">IF(AND(I330="",N(J330)=0),"",N(I330)+N(J330))</f>
        <v/>
      </c>
      <c r="L330" s="32" t="str">
        <f aca="false">IF(OR(E330="",F330=""),"",F330*IFERROR(INDEX(Товары!$C$4:$C$200,MATCH(E330,Товары!$B$4:$B$200,0)),0))</f>
        <v/>
      </c>
      <c r="M330" s="32" t="str">
        <f aca="false">IF(I330="","",I330-L330)</f>
        <v/>
      </c>
      <c r="N330" s="28"/>
      <c r="O330" s="28"/>
      <c r="P330" s="28"/>
      <c r="Q330" s="28"/>
      <c r="R330" s="35"/>
      <c r="S330" s="28"/>
    </row>
    <row r="331" customFormat="false" ht="15" hidden="false" customHeight="false" outlineLevel="0" collapsed="false">
      <c r="A331" s="34" t="str">
        <f aca="false">IF(E331="","",ROW()-3)</f>
        <v/>
      </c>
      <c r="B331" s="35"/>
      <c r="C331" s="28"/>
      <c r="D331" s="28"/>
      <c r="E331" s="28"/>
      <c r="F331" s="28"/>
      <c r="G331" s="32" t="str">
        <f aca="false">IF(E331="","",IFERROR(INDEX(Товары!$D$4:$D$200,MATCH(E331,Товары!$B$4:$B$200,0)),0))</f>
        <v/>
      </c>
      <c r="H331" s="29"/>
      <c r="I331" s="32" t="str">
        <f aca="false">IF(OR(E331="",F331=""),"",F331*G331-N(H331))</f>
        <v/>
      </c>
      <c r="J331" s="29"/>
      <c r="K331" s="32" t="str">
        <f aca="false">IF(AND(I331="",N(J331)=0),"",N(I331)+N(J331))</f>
        <v/>
      </c>
      <c r="L331" s="32" t="str">
        <f aca="false">IF(OR(E331="",F331=""),"",F331*IFERROR(INDEX(Товары!$C$4:$C$200,MATCH(E331,Товары!$B$4:$B$200,0)),0))</f>
        <v/>
      </c>
      <c r="M331" s="32" t="str">
        <f aca="false">IF(I331="","",I331-L331)</f>
        <v/>
      </c>
      <c r="N331" s="28"/>
      <c r="O331" s="28"/>
      <c r="P331" s="28"/>
      <c r="Q331" s="28"/>
      <c r="R331" s="35"/>
      <c r="S331" s="28"/>
    </row>
    <row r="332" customFormat="false" ht="15" hidden="false" customHeight="false" outlineLevel="0" collapsed="false">
      <c r="A332" s="34" t="str">
        <f aca="false">IF(E332="","",ROW()-3)</f>
        <v/>
      </c>
      <c r="B332" s="35"/>
      <c r="C332" s="28"/>
      <c r="D332" s="28"/>
      <c r="E332" s="28"/>
      <c r="F332" s="28"/>
      <c r="G332" s="32" t="str">
        <f aca="false">IF(E332="","",IFERROR(INDEX(Товары!$D$4:$D$200,MATCH(E332,Товары!$B$4:$B$200,0)),0))</f>
        <v/>
      </c>
      <c r="H332" s="29"/>
      <c r="I332" s="32" t="str">
        <f aca="false">IF(OR(E332="",F332=""),"",F332*G332-N(H332))</f>
        <v/>
      </c>
      <c r="J332" s="29"/>
      <c r="K332" s="32" t="str">
        <f aca="false">IF(AND(I332="",N(J332)=0),"",N(I332)+N(J332))</f>
        <v/>
      </c>
      <c r="L332" s="32" t="str">
        <f aca="false">IF(OR(E332="",F332=""),"",F332*IFERROR(INDEX(Товары!$C$4:$C$200,MATCH(E332,Товары!$B$4:$B$200,0)),0))</f>
        <v/>
      </c>
      <c r="M332" s="32" t="str">
        <f aca="false">IF(I332="","",I332-L332)</f>
        <v/>
      </c>
      <c r="N332" s="28"/>
      <c r="O332" s="28"/>
      <c r="P332" s="28"/>
      <c r="Q332" s="28"/>
      <c r="R332" s="35"/>
      <c r="S332" s="28"/>
    </row>
    <row r="333" customFormat="false" ht="15" hidden="false" customHeight="false" outlineLevel="0" collapsed="false">
      <c r="A333" s="34" t="str">
        <f aca="false">IF(E333="","",ROW()-3)</f>
        <v/>
      </c>
      <c r="B333" s="35"/>
      <c r="C333" s="28"/>
      <c r="D333" s="28"/>
      <c r="E333" s="28"/>
      <c r="F333" s="28"/>
      <c r="G333" s="32" t="str">
        <f aca="false">IF(E333="","",IFERROR(INDEX(Товары!$D$4:$D$200,MATCH(E333,Товары!$B$4:$B$200,0)),0))</f>
        <v/>
      </c>
      <c r="H333" s="29"/>
      <c r="I333" s="32" t="str">
        <f aca="false">IF(OR(E333="",F333=""),"",F333*G333-N(H333))</f>
        <v/>
      </c>
      <c r="J333" s="29"/>
      <c r="K333" s="32" t="str">
        <f aca="false">IF(AND(I333="",N(J333)=0),"",N(I333)+N(J333))</f>
        <v/>
      </c>
      <c r="L333" s="32" t="str">
        <f aca="false">IF(OR(E333="",F333=""),"",F333*IFERROR(INDEX(Товары!$C$4:$C$200,MATCH(E333,Товары!$B$4:$B$200,0)),0))</f>
        <v/>
      </c>
      <c r="M333" s="32" t="str">
        <f aca="false">IF(I333="","",I333-L333)</f>
        <v/>
      </c>
      <c r="N333" s="28"/>
      <c r="O333" s="28"/>
      <c r="P333" s="28"/>
      <c r="Q333" s="28"/>
      <c r="R333" s="35"/>
      <c r="S333" s="28"/>
    </row>
    <row r="334" customFormat="false" ht="15" hidden="false" customHeight="false" outlineLevel="0" collapsed="false">
      <c r="A334" s="34" t="str">
        <f aca="false">IF(E334="","",ROW()-3)</f>
        <v/>
      </c>
      <c r="B334" s="35"/>
      <c r="C334" s="28"/>
      <c r="D334" s="28"/>
      <c r="E334" s="28"/>
      <c r="F334" s="28"/>
      <c r="G334" s="32" t="str">
        <f aca="false">IF(E334="","",IFERROR(INDEX(Товары!$D$4:$D$200,MATCH(E334,Товары!$B$4:$B$200,0)),0))</f>
        <v/>
      </c>
      <c r="H334" s="29"/>
      <c r="I334" s="32" t="str">
        <f aca="false">IF(OR(E334="",F334=""),"",F334*G334-N(H334))</f>
        <v/>
      </c>
      <c r="J334" s="29"/>
      <c r="K334" s="32" t="str">
        <f aca="false">IF(AND(I334="",N(J334)=0),"",N(I334)+N(J334))</f>
        <v/>
      </c>
      <c r="L334" s="32" t="str">
        <f aca="false">IF(OR(E334="",F334=""),"",F334*IFERROR(INDEX(Товары!$C$4:$C$200,MATCH(E334,Товары!$B$4:$B$200,0)),0))</f>
        <v/>
      </c>
      <c r="M334" s="32" t="str">
        <f aca="false">IF(I334="","",I334-L334)</f>
        <v/>
      </c>
      <c r="N334" s="28"/>
      <c r="O334" s="28"/>
      <c r="P334" s="28"/>
      <c r="Q334" s="28"/>
      <c r="R334" s="35"/>
      <c r="S334" s="28"/>
    </row>
    <row r="335" customFormat="false" ht="15" hidden="false" customHeight="false" outlineLevel="0" collapsed="false">
      <c r="A335" s="34" t="str">
        <f aca="false">IF(E335="","",ROW()-3)</f>
        <v/>
      </c>
      <c r="B335" s="35"/>
      <c r="C335" s="28"/>
      <c r="D335" s="28"/>
      <c r="E335" s="28"/>
      <c r="F335" s="28"/>
      <c r="G335" s="32" t="str">
        <f aca="false">IF(E335="","",IFERROR(INDEX(Товары!$D$4:$D$200,MATCH(E335,Товары!$B$4:$B$200,0)),0))</f>
        <v/>
      </c>
      <c r="H335" s="29"/>
      <c r="I335" s="32" t="str">
        <f aca="false">IF(OR(E335="",F335=""),"",F335*G335-N(H335))</f>
        <v/>
      </c>
      <c r="J335" s="29"/>
      <c r="K335" s="32" t="str">
        <f aca="false">IF(AND(I335="",N(J335)=0),"",N(I335)+N(J335))</f>
        <v/>
      </c>
      <c r="L335" s="32" t="str">
        <f aca="false">IF(OR(E335="",F335=""),"",F335*IFERROR(INDEX(Товары!$C$4:$C$200,MATCH(E335,Товары!$B$4:$B$200,0)),0))</f>
        <v/>
      </c>
      <c r="M335" s="32" t="str">
        <f aca="false">IF(I335="","",I335-L335)</f>
        <v/>
      </c>
      <c r="N335" s="28"/>
      <c r="O335" s="28"/>
      <c r="P335" s="28"/>
      <c r="Q335" s="28"/>
      <c r="R335" s="35"/>
      <c r="S335" s="28"/>
    </row>
    <row r="336" customFormat="false" ht="15" hidden="false" customHeight="false" outlineLevel="0" collapsed="false">
      <c r="A336" s="34" t="str">
        <f aca="false">IF(E336="","",ROW()-3)</f>
        <v/>
      </c>
      <c r="B336" s="35"/>
      <c r="C336" s="28"/>
      <c r="D336" s="28"/>
      <c r="E336" s="28"/>
      <c r="F336" s="28"/>
      <c r="G336" s="32" t="str">
        <f aca="false">IF(E336="","",IFERROR(INDEX(Товары!$D$4:$D$200,MATCH(E336,Товары!$B$4:$B$200,0)),0))</f>
        <v/>
      </c>
      <c r="H336" s="29"/>
      <c r="I336" s="32" t="str">
        <f aca="false">IF(OR(E336="",F336=""),"",F336*G336-N(H336))</f>
        <v/>
      </c>
      <c r="J336" s="29"/>
      <c r="K336" s="32" t="str">
        <f aca="false">IF(AND(I336="",N(J336)=0),"",N(I336)+N(J336))</f>
        <v/>
      </c>
      <c r="L336" s="32" t="str">
        <f aca="false">IF(OR(E336="",F336=""),"",F336*IFERROR(INDEX(Товары!$C$4:$C$200,MATCH(E336,Товары!$B$4:$B$200,0)),0))</f>
        <v/>
      </c>
      <c r="M336" s="32" t="str">
        <f aca="false">IF(I336="","",I336-L336)</f>
        <v/>
      </c>
      <c r="N336" s="28"/>
      <c r="O336" s="28"/>
      <c r="P336" s="28"/>
      <c r="Q336" s="28"/>
      <c r="R336" s="35"/>
      <c r="S336" s="28"/>
    </row>
    <row r="337" customFormat="false" ht="15" hidden="false" customHeight="false" outlineLevel="0" collapsed="false">
      <c r="A337" s="34" t="str">
        <f aca="false">IF(E337="","",ROW()-3)</f>
        <v/>
      </c>
      <c r="B337" s="35"/>
      <c r="C337" s="28"/>
      <c r="D337" s="28"/>
      <c r="E337" s="28"/>
      <c r="F337" s="28"/>
      <c r="G337" s="32" t="str">
        <f aca="false">IF(E337="","",IFERROR(INDEX(Товары!$D$4:$D$200,MATCH(E337,Товары!$B$4:$B$200,0)),0))</f>
        <v/>
      </c>
      <c r="H337" s="29"/>
      <c r="I337" s="32" t="str">
        <f aca="false">IF(OR(E337="",F337=""),"",F337*G337-N(H337))</f>
        <v/>
      </c>
      <c r="J337" s="29"/>
      <c r="K337" s="32" t="str">
        <f aca="false">IF(AND(I337="",N(J337)=0),"",N(I337)+N(J337))</f>
        <v/>
      </c>
      <c r="L337" s="32" t="str">
        <f aca="false">IF(OR(E337="",F337=""),"",F337*IFERROR(INDEX(Товары!$C$4:$C$200,MATCH(E337,Товары!$B$4:$B$200,0)),0))</f>
        <v/>
      </c>
      <c r="M337" s="32" t="str">
        <f aca="false">IF(I337="","",I337-L337)</f>
        <v/>
      </c>
      <c r="N337" s="28"/>
      <c r="O337" s="28"/>
      <c r="P337" s="28"/>
      <c r="Q337" s="28"/>
      <c r="R337" s="35"/>
      <c r="S337" s="28"/>
    </row>
    <row r="338" customFormat="false" ht="15" hidden="false" customHeight="false" outlineLevel="0" collapsed="false">
      <c r="A338" s="34" t="str">
        <f aca="false">IF(E338="","",ROW()-3)</f>
        <v/>
      </c>
      <c r="B338" s="35"/>
      <c r="C338" s="28"/>
      <c r="D338" s="28"/>
      <c r="E338" s="28"/>
      <c r="F338" s="28"/>
      <c r="G338" s="32" t="str">
        <f aca="false">IF(E338="","",IFERROR(INDEX(Товары!$D$4:$D$200,MATCH(E338,Товары!$B$4:$B$200,0)),0))</f>
        <v/>
      </c>
      <c r="H338" s="29"/>
      <c r="I338" s="32" t="str">
        <f aca="false">IF(OR(E338="",F338=""),"",F338*G338-N(H338))</f>
        <v/>
      </c>
      <c r="J338" s="29"/>
      <c r="K338" s="32" t="str">
        <f aca="false">IF(AND(I338="",N(J338)=0),"",N(I338)+N(J338))</f>
        <v/>
      </c>
      <c r="L338" s="32" t="str">
        <f aca="false">IF(OR(E338="",F338=""),"",F338*IFERROR(INDEX(Товары!$C$4:$C$200,MATCH(E338,Товары!$B$4:$B$200,0)),0))</f>
        <v/>
      </c>
      <c r="M338" s="32" t="str">
        <f aca="false">IF(I338="","",I338-L338)</f>
        <v/>
      </c>
      <c r="N338" s="28"/>
      <c r="O338" s="28"/>
      <c r="P338" s="28"/>
      <c r="Q338" s="28"/>
      <c r="R338" s="35"/>
      <c r="S338" s="28"/>
    </row>
    <row r="339" customFormat="false" ht="15" hidden="false" customHeight="false" outlineLevel="0" collapsed="false">
      <c r="A339" s="34" t="str">
        <f aca="false">IF(E339="","",ROW()-3)</f>
        <v/>
      </c>
      <c r="B339" s="35"/>
      <c r="C339" s="28"/>
      <c r="D339" s="28"/>
      <c r="E339" s="28"/>
      <c r="F339" s="28"/>
      <c r="G339" s="32" t="str">
        <f aca="false">IF(E339="","",IFERROR(INDEX(Товары!$D$4:$D$200,MATCH(E339,Товары!$B$4:$B$200,0)),0))</f>
        <v/>
      </c>
      <c r="H339" s="29"/>
      <c r="I339" s="32" t="str">
        <f aca="false">IF(OR(E339="",F339=""),"",F339*G339-N(H339))</f>
        <v/>
      </c>
      <c r="J339" s="29"/>
      <c r="K339" s="32" t="str">
        <f aca="false">IF(AND(I339="",N(J339)=0),"",N(I339)+N(J339))</f>
        <v/>
      </c>
      <c r="L339" s="32" t="str">
        <f aca="false">IF(OR(E339="",F339=""),"",F339*IFERROR(INDEX(Товары!$C$4:$C$200,MATCH(E339,Товары!$B$4:$B$200,0)),0))</f>
        <v/>
      </c>
      <c r="M339" s="32" t="str">
        <f aca="false">IF(I339="","",I339-L339)</f>
        <v/>
      </c>
      <c r="N339" s="28"/>
      <c r="O339" s="28"/>
      <c r="P339" s="28"/>
      <c r="Q339" s="28"/>
      <c r="R339" s="35"/>
      <c r="S339" s="28"/>
    </row>
    <row r="340" customFormat="false" ht="15" hidden="false" customHeight="false" outlineLevel="0" collapsed="false">
      <c r="A340" s="34" t="str">
        <f aca="false">IF(E340="","",ROW()-3)</f>
        <v/>
      </c>
      <c r="B340" s="35"/>
      <c r="C340" s="28"/>
      <c r="D340" s="28"/>
      <c r="E340" s="28"/>
      <c r="F340" s="28"/>
      <c r="G340" s="32" t="str">
        <f aca="false">IF(E340="","",IFERROR(INDEX(Товары!$D$4:$D$200,MATCH(E340,Товары!$B$4:$B$200,0)),0))</f>
        <v/>
      </c>
      <c r="H340" s="29"/>
      <c r="I340" s="32" t="str">
        <f aca="false">IF(OR(E340="",F340=""),"",F340*G340-N(H340))</f>
        <v/>
      </c>
      <c r="J340" s="29"/>
      <c r="K340" s="32" t="str">
        <f aca="false">IF(AND(I340="",N(J340)=0),"",N(I340)+N(J340))</f>
        <v/>
      </c>
      <c r="L340" s="32" t="str">
        <f aca="false">IF(OR(E340="",F340=""),"",F340*IFERROR(INDEX(Товары!$C$4:$C$200,MATCH(E340,Товары!$B$4:$B$200,0)),0))</f>
        <v/>
      </c>
      <c r="M340" s="32" t="str">
        <f aca="false">IF(I340="","",I340-L340)</f>
        <v/>
      </c>
      <c r="N340" s="28"/>
      <c r="O340" s="28"/>
      <c r="P340" s="28"/>
      <c r="Q340" s="28"/>
      <c r="R340" s="35"/>
      <c r="S340" s="28"/>
    </row>
    <row r="341" customFormat="false" ht="15" hidden="false" customHeight="false" outlineLevel="0" collapsed="false">
      <c r="A341" s="34" t="str">
        <f aca="false">IF(E341="","",ROW()-3)</f>
        <v/>
      </c>
      <c r="B341" s="35"/>
      <c r="C341" s="28"/>
      <c r="D341" s="28"/>
      <c r="E341" s="28"/>
      <c r="F341" s="28"/>
      <c r="G341" s="32" t="str">
        <f aca="false">IF(E341="","",IFERROR(INDEX(Товары!$D$4:$D$200,MATCH(E341,Товары!$B$4:$B$200,0)),0))</f>
        <v/>
      </c>
      <c r="H341" s="29"/>
      <c r="I341" s="32" t="str">
        <f aca="false">IF(OR(E341="",F341=""),"",F341*G341-N(H341))</f>
        <v/>
      </c>
      <c r="J341" s="29"/>
      <c r="K341" s="32" t="str">
        <f aca="false">IF(AND(I341="",N(J341)=0),"",N(I341)+N(J341))</f>
        <v/>
      </c>
      <c r="L341" s="32" t="str">
        <f aca="false">IF(OR(E341="",F341=""),"",F341*IFERROR(INDEX(Товары!$C$4:$C$200,MATCH(E341,Товары!$B$4:$B$200,0)),0))</f>
        <v/>
      </c>
      <c r="M341" s="32" t="str">
        <f aca="false">IF(I341="","",I341-L341)</f>
        <v/>
      </c>
      <c r="N341" s="28"/>
      <c r="O341" s="28"/>
      <c r="P341" s="28"/>
      <c r="Q341" s="28"/>
      <c r="R341" s="35"/>
      <c r="S341" s="28"/>
    </row>
    <row r="342" customFormat="false" ht="15" hidden="false" customHeight="false" outlineLevel="0" collapsed="false">
      <c r="A342" s="34" t="str">
        <f aca="false">IF(E342="","",ROW()-3)</f>
        <v/>
      </c>
      <c r="B342" s="35"/>
      <c r="C342" s="28"/>
      <c r="D342" s="28"/>
      <c r="E342" s="28"/>
      <c r="F342" s="28"/>
      <c r="G342" s="32" t="str">
        <f aca="false">IF(E342="","",IFERROR(INDEX(Товары!$D$4:$D$200,MATCH(E342,Товары!$B$4:$B$200,0)),0))</f>
        <v/>
      </c>
      <c r="H342" s="29"/>
      <c r="I342" s="32" t="str">
        <f aca="false">IF(OR(E342="",F342=""),"",F342*G342-N(H342))</f>
        <v/>
      </c>
      <c r="J342" s="29"/>
      <c r="K342" s="32" t="str">
        <f aca="false">IF(AND(I342="",N(J342)=0),"",N(I342)+N(J342))</f>
        <v/>
      </c>
      <c r="L342" s="32" t="str">
        <f aca="false">IF(OR(E342="",F342=""),"",F342*IFERROR(INDEX(Товары!$C$4:$C$200,MATCH(E342,Товары!$B$4:$B$200,0)),0))</f>
        <v/>
      </c>
      <c r="M342" s="32" t="str">
        <f aca="false">IF(I342="","",I342-L342)</f>
        <v/>
      </c>
      <c r="N342" s="28"/>
      <c r="O342" s="28"/>
      <c r="P342" s="28"/>
      <c r="Q342" s="28"/>
      <c r="R342" s="35"/>
      <c r="S342" s="28"/>
    </row>
    <row r="343" customFormat="false" ht="15" hidden="false" customHeight="false" outlineLevel="0" collapsed="false">
      <c r="A343" s="34" t="str">
        <f aca="false">IF(E343="","",ROW()-3)</f>
        <v/>
      </c>
      <c r="B343" s="35"/>
      <c r="C343" s="28"/>
      <c r="D343" s="28"/>
      <c r="E343" s="28"/>
      <c r="F343" s="28"/>
      <c r="G343" s="32" t="str">
        <f aca="false">IF(E343="","",IFERROR(INDEX(Товары!$D$4:$D$200,MATCH(E343,Товары!$B$4:$B$200,0)),0))</f>
        <v/>
      </c>
      <c r="H343" s="29"/>
      <c r="I343" s="32" t="str">
        <f aca="false">IF(OR(E343="",F343=""),"",F343*G343-N(H343))</f>
        <v/>
      </c>
      <c r="J343" s="29"/>
      <c r="K343" s="32" t="str">
        <f aca="false">IF(AND(I343="",N(J343)=0),"",N(I343)+N(J343))</f>
        <v/>
      </c>
      <c r="L343" s="32" t="str">
        <f aca="false">IF(OR(E343="",F343=""),"",F343*IFERROR(INDEX(Товары!$C$4:$C$200,MATCH(E343,Товары!$B$4:$B$200,0)),0))</f>
        <v/>
      </c>
      <c r="M343" s="32" t="str">
        <f aca="false">IF(I343="","",I343-L343)</f>
        <v/>
      </c>
      <c r="N343" s="28"/>
      <c r="O343" s="28"/>
      <c r="P343" s="28"/>
      <c r="Q343" s="28"/>
      <c r="R343" s="35"/>
      <c r="S343" s="28"/>
    </row>
    <row r="344" customFormat="false" ht="15" hidden="false" customHeight="false" outlineLevel="0" collapsed="false">
      <c r="A344" s="34" t="str">
        <f aca="false">IF(E344="","",ROW()-3)</f>
        <v/>
      </c>
      <c r="B344" s="35"/>
      <c r="C344" s="28"/>
      <c r="D344" s="28"/>
      <c r="E344" s="28"/>
      <c r="F344" s="28"/>
      <c r="G344" s="32" t="str">
        <f aca="false">IF(E344="","",IFERROR(INDEX(Товары!$D$4:$D$200,MATCH(E344,Товары!$B$4:$B$200,0)),0))</f>
        <v/>
      </c>
      <c r="H344" s="29"/>
      <c r="I344" s="32" t="str">
        <f aca="false">IF(OR(E344="",F344=""),"",F344*G344-N(H344))</f>
        <v/>
      </c>
      <c r="J344" s="29"/>
      <c r="K344" s="32" t="str">
        <f aca="false">IF(AND(I344="",N(J344)=0),"",N(I344)+N(J344))</f>
        <v/>
      </c>
      <c r="L344" s="32" t="str">
        <f aca="false">IF(OR(E344="",F344=""),"",F344*IFERROR(INDEX(Товары!$C$4:$C$200,MATCH(E344,Товары!$B$4:$B$200,0)),0))</f>
        <v/>
      </c>
      <c r="M344" s="32" t="str">
        <f aca="false">IF(I344="","",I344-L344)</f>
        <v/>
      </c>
      <c r="N344" s="28"/>
      <c r="O344" s="28"/>
      <c r="P344" s="28"/>
      <c r="Q344" s="28"/>
      <c r="R344" s="35"/>
      <c r="S344" s="28"/>
    </row>
    <row r="345" customFormat="false" ht="15" hidden="false" customHeight="false" outlineLevel="0" collapsed="false">
      <c r="A345" s="34" t="str">
        <f aca="false">IF(E345="","",ROW()-3)</f>
        <v/>
      </c>
      <c r="B345" s="35"/>
      <c r="C345" s="28"/>
      <c r="D345" s="28"/>
      <c r="E345" s="28"/>
      <c r="F345" s="28"/>
      <c r="G345" s="32" t="str">
        <f aca="false">IF(E345="","",IFERROR(INDEX(Товары!$D$4:$D$200,MATCH(E345,Товары!$B$4:$B$200,0)),0))</f>
        <v/>
      </c>
      <c r="H345" s="29"/>
      <c r="I345" s="32" t="str">
        <f aca="false">IF(OR(E345="",F345=""),"",F345*G345-N(H345))</f>
        <v/>
      </c>
      <c r="J345" s="29"/>
      <c r="K345" s="32" t="str">
        <f aca="false">IF(AND(I345="",N(J345)=0),"",N(I345)+N(J345))</f>
        <v/>
      </c>
      <c r="L345" s="32" t="str">
        <f aca="false">IF(OR(E345="",F345=""),"",F345*IFERROR(INDEX(Товары!$C$4:$C$200,MATCH(E345,Товары!$B$4:$B$200,0)),0))</f>
        <v/>
      </c>
      <c r="M345" s="32" t="str">
        <f aca="false">IF(I345="","",I345-L345)</f>
        <v/>
      </c>
      <c r="N345" s="28"/>
      <c r="O345" s="28"/>
      <c r="P345" s="28"/>
      <c r="Q345" s="28"/>
      <c r="R345" s="35"/>
      <c r="S345" s="28"/>
    </row>
    <row r="346" customFormat="false" ht="15" hidden="false" customHeight="false" outlineLevel="0" collapsed="false">
      <c r="A346" s="34" t="str">
        <f aca="false">IF(E346="","",ROW()-3)</f>
        <v/>
      </c>
      <c r="B346" s="35"/>
      <c r="C346" s="28"/>
      <c r="D346" s="28"/>
      <c r="E346" s="28"/>
      <c r="F346" s="28"/>
      <c r="G346" s="32" t="str">
        <f aca="false">IF(E346="","",IFERROR(INDEX(Товары!$D$4:$D$200,MATCH(E346,Товары!$B$4:$B$200,0)),0))</f>
        <v/>
      </c>
      <c r="H346" s="29"/>
      <c r="I346" s="32" t="str">
        <f aca="false">IF(OR(E346="",F346=""),"",F346*G346-N(H346))</f>
        <v/>
      </c>
      <c r="J346" s="29"/>
      <c r="K346" s="32" t="str">
        <f aca="false">IF(AND(I346="",N(J346)=0),"",N(I346)+N(J346))</f>
        <v/>
      </c>
      <c r="L346" s="32" t="str">
        <f aca="false">IF(OR(E346="",F346=""),"",F346*IFERROR(INDEX(Товары!$C$4:$C$200,MATCH(E346,Товары!$B$4:$B$200,0)),0))</f>
        <v/>
      </c>
      <c r="M346" s="32" t="str">
        <f aca="false">IF(I346="","",I346-L346)</f>
        <v/>
      </c>
      <c r="N346" s="28"/>
      <c r="O346" s="28"/>
      <c r="P346" s="28"/>
      <c r="Q346" s="28"/>
      <c r="R346" s="35"/>
      <c r="S346" s="28"/>
    </row>
    <row r="347" customFormat="false" ht="15" hidden="false" customHeight="false" outlineLevel="0" collapsed="false">
      <c r="A347" s="34" t="str">
        <f aca="false">IF(E347="","",ROW()-3)</f>
        <v/>
      </c>
      <c r="B347" s="35"/>
      <c r="C347" s="28"/>
      <c r="D347" s="28"/>
      <c r="E347" s="28"/>
      <c r="F347" s="28"/>
      <c r="G347" s="32" t="str">
        <f aca="false">IF(E347="","",IFERROR(INDEX(Товары!$D$4:$D$200,MATCH(E347,Товары!$B$4:$B$200,0)),0))</f>
        <v/>
      </c>
      <c r="H347" s="29"/>
      <c r="I347" s="32" t="str">
        <f aca="false">IF(OR(E347="",F347=""),"",F347*G347-N(H347))</f>
        <v/>
      </c>
      <c r="J347" s="29"/>
      <c r="K347" s="32" t="str">
        <f aca="false">IF(AND(I347="",N(J347)=0),"",N(I347)+N(J347))</f>
        <v/>
      </c>
      <c r="L347" s="32" t="str">
        <f aca="false">IF(OR(E347="",F347=""),"",F347*IFERROR(INDEX(Товары!$C$4:$C$200,MATCH(E347,Товары!$B$4:$B$200,0)),0))</f>
        <v/>
      </c>
      <c r="M347" s="32" t="str">
        <f aca="false">IF(I347="","",I347-L347)</f>
        <v/>
      </c>
      <c r="N347" s="28"/>
      <c r="O347" s="28"/>
      <c r="P347" s="28"/>
      <c r="Q347" s="28"/>
      <c r="R347" s="35"/>
      <c r="S347" s="28"/>
    </row>
    <row r="348" customFormat="false" ht="15" hidden="false" customHeight="false" outlineLevel="0" collapsed="false">
      <c r="A348" s="34" t="str">
        <f aca="false">IF(E348="","",ROW()-3)</f>
        <v/>
      </c>
      <c r="B348" s="35"/>
      <c r="C348" s="28"/>
      <c r="D348" s="28"/>
      <c r="E348" s="28"/>
      <c r="F348" s="28"/>
      <c r="G348" s="32" t="str">
        <f aca="false">IF(E348="","",IFERROR(INDEX(Товары!$D$4:$D$200,MATCH(E348,Товары!$B$4:$B$200,0)),0))</f>
        <v/>
      </c>
      <c r="H348" s="29"/>
      <c r="I348" s="32" t="str">
        <f aca="false">IF(OR(E348="",F348=""),"",F348*G348-N(H348))</f>
        <v/>
      </c>
      <c r="J348" s="29"/>
      <c r="K348" s="32" t="str">
        <f aca="false">IF(AND(I348="",N(J348)=0),"",N(I348)+N(J348))</f>
        <v/>
      </c>
      <c r="L348" s="32" t="str">
        <f aca="false">IF(OR(E348="",F348=""),"",F348*IFERROR(INDEX(Товары!$C$4:$C$200,MATCH(E348,Товары!$B$4:$B$200,0)),0))</f>
        <v/>
      </c>
      <c r="M348" s="32" t="str">
        <f aca="false">IF(I348="","",I348-L348)</f>
        <v/>
      </c>
      <c r="N348" s="28"/>
      <c r="O348" s="28"/>
      <c r="P348" s="28"/>
      <c r="Q348" s="28"/>
      <c r="R348" s="35"/>
      <c r="S348" s="28"/>
    </row>
    <row r="349" customFormat="false" ht="15" hidden="false" customHeight="false" outlineLevel="0" collapsed="false">
      <c r="A349" s="34" t="str">
        <f aca="false">IF(E349="","",ROW()-3)</f>
        <v/>
      </c>
      <c r="B349" s="35"/>
      <c r="C349" s="28"/>
      <c r="D349" s="28"/>
      <c r="E349" s="28"/>
      <c r="F349" s="28"/>
      <c r="G349" s="32" t="str">
        <f aca="false">IF(E349="","",IFERROR(INDEX(Товары!$D$4:$D$200,MATCH(E349,Товары!$B$4:$B$200,0)),0))</f>
        <v/>
      </c>
      <c r="H349" s="29"/>
      <c r="I349" s="32" t="str">
        <f aca="false">IF(OR(E349="",F349=""),"",F349*G349-N(H349))</f>
        <v/>
      </c>
      <c r="J349" s="29"/>
      <c r="K349" s="32" t="str">
        <f aca="false">IF(AND(I349="",N(J349)=0),"",N(I349)+N(J349))</f>
        <v/>
      </c>
      <c r="L349" s="32" t="str">
        <f aca="false">IF(OR(E349="",F349=""),"",F349*IFERROR(INDEX(Товары!$C$4:$C$200,MATCH(E349,Товары!$B$4:$B$200,0)),0))</f>
        <v/>
      </c>
      <c r="M349" s="32" t="str">
        <f aca="false">IF(I349="","",I349-L349)</f>
        <v/>
      </c>
      <c r="N349" s="28"/>
      <c r="O349" s="28"/>
      <c r="P349" s="28"/>
      <c r="Q349" s="28"/>
      <c r="R349" s="35"/>
      <c r="S349" s="28"/>
    </row>
    <row r="350" customFormat="false" ht="15" hidden="false" customHeight="false" outlineLevel="0" collapsed="false">
      <c r="A350" s="34" t="str">
        <f aca="false">IF(E350="","",ROW()-3)</f>
        <v/>
      </c>
      <c r="B350" s="35"/>
      <c r="C350" s="28"/>
      <c r="D350" s="28"/>
      <c r="E350" s="28"/>
      <c r="F350" s="28"/>
      <c r="G350" s="32" t="str">
        <f aca="false">IF(E350="","",IFERROR(INDEX(Товары!$D$4:$D$200,MATCH(E350,Товары!$B$4:$B$200,0)),0))</f>
        <v/>
      </c>
      <c r="H350" s="29"/>
      <c r="I350" s="32" t="str">
        <f aca="false">IF(OR(E350="",F350=""),"",F350*G350-N(H350))</f>
        <v/>
      </c>
      <c r="J350" s="29"/>
      <c r="K350" s="32" t="str">
        <f aca="false">IF(AND(I350="",N(J350)=0),"",N(I350)+N(J350))</f>
        <v/>
      </c>
      <c r="L350" s="32" t="str">
        <f aca="false">IF(OR(E350="",F350=""),"",F350*IFERROR(INDEX(Товары!$C$4:$C$200,MATCH(E350,Товары!$B$4:$B$200,0)),0))</f>
        <v/>
      </c>
      <c r="M350" s="32" t="str">
        <f aca="false">IF(I350="","",I350-L350)</f>
        <v/>
      </c>
      <c r="N350" s="28"/>
      <c r="O350" s="28"/>
      <c r="P350" s="28"/>
      <c r="Q350" s="28"/>
      <c r="R350" s="35"/>
      <c r="S350" s="28"/>
    </row>
    <row r="351" customFormat="false" ht="15" hidden="false" customHeight="false" outlineLevel="0" collapsed="false">
      <c r="A351" s="34" t="str">
        <f aca="false">IF(E351="","",ROW()-3)</f>
        <v/>
      </c>
      <c r="B351" s="35"/>
      <c r="C351" s="28"/>
      <c r="D351" s="28"/>
      <c r="E351" s="28"/>
      <c r="F351" s="28"/>
      <c r="G351" s="32" t="str">
        <f aca="false">IF(E351="","",IFERROR(INDEX(Товары!$D$4:$D$200,MATCH(E351,Товары!$B$4:$B$200,0)),0))</f>
        <v/>
      </c>
      <c r="H351" s="29"/>
      <c r="I351" s="32" t="str">
        <f aca="false">IF(OR(E351="",F351=""),"",F351*G351-N(H351))</f>
        <v/>
      </c>
      <c r="J351" s="29"/>
      <c r="K351" s="32" t="str">
        <f aca="false">IF(AND(I351="",N(J351)=0),"",N(I351)+N(J351))</f>
        <v/>
      </c>
      <c r="L351" s="32" t="str">
        <f aca="false">IF(OR(E351="",F351=""),"",F351*IFERROR(INDEX(Товары!$C$4:$C$200,MATCH(E351,Товары!$B$4:$B$200,0)),0))</f>
        <v/>
      </c>
      <c r="M351" s="32" t="str">
        <f aca="false">IF(I351="","",I351-L351)</f>
        <v/>
      </c>
      <c r="N351" s="28"/>
      <c r="O351" s="28"/>
      <c r="P351" s="28"/>
      <c r="Q351" s="28"/>
      <c r="R351" s="35"/>
      <c r="S351" s="28"/>
    </row>
    <row r="352" customFormat="false" ht="15" hidden="false" customHeight="false" outlineLevel="0" collapsed="false">
      <c r="A352" s="34" t="str">
        <f aca="false">IF(E352="","",ROW()-3)</f>
        <v/>
      </c>
      <c r="B352" s="35"/>
      <c r="C352" s="28"/>
      <c r="D352" s="28"/>
      <c r="E352" s="28"/>
      <c r="F352" s="28"/>
      <c r="G352" s="32" t="str">
        <f aca="false">IF(E352="","",IFERROR(INDEX(Товары!$D$4:$D$200,MATCH(E352,Товары!$B$4:$B$200,0)),0))</f>
        <v/>
      </c>
      <c r="H352" s="29"/>
      <c r="I352" s="32" t="str">
        <f aca="false">IF(OR(E352="",F352=""),"",F352*G352-N(H352))</f>
        <v/>
      </c>
      <c r="J352" s="29"/>
      <c r="K352" s="32" t="str">
        <f aca="false">IF(AND(I352="",N(J352)=0),"",N(I352)+N(J352))</f>
        <v/>
      </c>
      <c r="L352" s="32" t="str">
        <f aca="false">IF(OR(E352="",F352=""),"",F352*IFERROR(INDEX(Товары!$C$4:$C$200,MATCH(E352,Товары!$B$4:$B$200,0)),0))</f>
        <v/>
      </c>
      <c r="M352" s="32" t="str">
        <f aca="false">IF(I352="","",I352-L352)</f>
        <v/>
      </c>
      <c r="N352" s="28"/>
      <c r="O352" s="28"/>
      <c r="P352" s="28"/>
      <c r="Q352" s="28"/>
      <c r="R352" s="35"/>
      <c r="S352" s="28"/>
    </row>
    <row r="353" customFormat="false" ht="15" hidden="false" customHeight="false" outlineLevel="0" collapsed="false">
      <c r="A353" s="34" t="str">
        <f aca="false">IF(E353="","",ROW()-3)</f>
        <v/>
      </c>
      <c r="B353" s="35"/>
      <c r="C353" s="28"/>
      <c r="D353" s="28"/>
      <c r="E353" s="28"/>
      <c r="F353" s="28"/>
      <c r="G353" s="32" t="str">
        <f aca="false">IF(E353="","",IFERROR(INDEX(Товары!$D$4:$D$200,MATCH(E353,Товары!$B$4:$B$200,0)),0))</f>
        <v/>
      </c>
      <c r="H353" s="29"/>
      <c r="I353" s="32" t="str">
        <f aca="false">IF(OR(E353="",F353=""),"",F353*G353-N(H353))</f>
        <v/>
      </c>
      <c r="J353" s="29"/>
      <c r="K353" s="32" t="str">
        <f aca="false">IF(AND(I353="",N(J353)=0),"",N(I353)+N(J353))</f>
        <v/>
      </c>
      <c r="L353" s="32" t="str">
        <f aca="false">IF(OR(E353="",F353=""),"",F353*IFERROR(INDEX(Товары!$C$4:$C$200,MATCH(E353,Товары!$B$4:$B$200,0)),0))</f>
        <v/>
      </c>
      <c r="M353" s="32" t="str">
        <f aca="false">IF(I353="","",I353-L353)</f>
        <v/>
      </c>
      <c r="N353" s="28"/>
      <c r="O353" s="28"/>
      <c r="P353" s="28"/>
      <c r="Q353" s="28"/>
      <c r="R353" s="35"/>
      <c r="S353" s="28"/>
    </row>
    <row r="354" customFormat="false" ht="15" hidden="false" customHeight="false" outlineLevel="0" collapsed="false">
      <c r="A354" s="34" t="str">
        <f aca="false">IF(E354="","",ROW()-3)</f>
        <v/>
      </c>
      <c r="B354" s="35"/>
      <c r="C354" s="28"/>
      <c r="D354" s="28"/>
      <c r="E354" s="28"/>
      <c r="F354" s="28"/>
      <c r="G354" s="32" t="str">
        <f aca="false">IF(E354="","",IFERROR(INDEX(Товары!$D$4:$D$200,MATCH(E354,Товары!$B$4:$B$200,0)),0))</f>
        <v/>
      </c>
      <c r="H354" s="29"/>
      <c r="I354" s="32" t="str">
        <f aca="false">IF(OR(E354="",F354=""),"",F354*G354-N(H354))</f>
        <v/>
      </c>
      <c r="J354" s="29"/>
      <c r="K354" s="32" t="str">
        <f aca="false">IF(AND(I354="",N(J354)=0),"",N(I354)+N(J354))</f>
        <v/>
      </c>
      <c r="L354" s="32" t="str">
        <f aca="false">IF(OR(E354="",F354=""),"",F354*IFERROR(INDEX(Товары!$C$4:$C$200,MATCH(E354,Товары!$B$4:$B$200,0)),0))</f>
        <v/>
      </c>
      <c r="M354" s="32" t="str">
        <f aca="false">IF(I354="","",I354-L354)</f>
        <v/>
      </c>
      <c r="N354" s="28"/>
      <c r="O354" s="28"/>
      <c r="P354" s="28"/>
      <c r="Q354" s="28"/>
      <c r="R354" s="35"/>
      <c r="S354" s="28"/>
    </row>
    <row r="355" customFormat="false" ht="15" hidden="false" customHeight="false" outlineLevel="0" collapsed="false">
      <c r="A355" s="34" t="str">
        <f aca="false">IF(E355="","",ROW()-3)</f>
        <v/>
      </c>
      <c r="B355" s="35"/>
      <c r="C355" s="28"/>
      <c r="D355" s="28"/>
      <c r="E355" s="28"/>
      <c r="F355" s="28"/>
      <c r="G355" s="32" t="str">
        <f aca="false">IF(E355="","",IFERROR(INDEX(Товары!$D$4:$D$200,MATCH(E355,Товары!$B$4:$B$200,0)),0))</f>
        <v/>
      </c>
      <c r="H355" s="29"/>
      <c r="I355" s="32" t="str">
        <f aca="false">IF(OR(E355="",F355=""),"",F355*G355-N(H355))</f>
        <v/>
      </c>
      <c r="J355" s="29"/>
      <c r="K355" s="32" t="str">
        <f aca="false">IF(AND(I355="",N(J355)=0),"",N(I355)+N(J355))</f>
        <v/>
      </c>
      <c r="L355" s="32" t="str">
        <f aca="false">IF(OR(E355="",F355=""),"",F355*IFERROR(INDEX(Товары!$C$4:$C$200,MATCH(E355,Товары!$B$4:$B$200,0)),0))</f>
        <v/>
      </c>
      <c r="M355" s="32" t="str">
        <f aca="false">IF(I355="","",I355-L355)</f>
        <v/>
      </c>
      <c r="N355" s="28"/>
      <c r="O355" s="28"/>
      <c r="P355" s="28"/>
      <c r="Q355" s="28"/>
      <c r="R355" s="35"/>
      <c r="S355" s="28"/>
    </row>
    <row r="356" customFormat="false" ht="15" hidden="false" customHeight="false" outlineLevel="0" collapsed="false">
      <c r="A356" s="34" t="str">
        <f aca="false">IF(E356="","",ROW()-3)</f>
        <v/>
      </c>
      <c r="B356" s="35"/>
      <c r="C356" s="28"/>
      <c r="D356" s="28"/>
      <c r="E356" s="28"/>
      <c r="F356" s="28"/>
      <c r="G356" s="32" t="str">
        <f aca="false">IF(E356="","",IFERROR(INDEX(Товары!$D$4:$D$200,MATCH(E356,Товары!$B$4:$B$200,0)),0))</f>
        <v/>
      </c>
      <c r="H356" s="29"/>
      <c r="I356" s="32" t="str">
        <f aca="false">IF(OR(E356="",F356=""),"",F356*G356-N(H356))</f>
        <v/>
      </c>
      <c r="J356" s="29"/>
      <c r="K356" s="32" t="str">
        <f aca="false">IF(AND(I356="",N(J356)=0),"",N(I356)+N(J356))</f>
        <v/>
      </c>
      <c r="L356" s="32" t="str">
        <f aca="false">IF(OR(E356="",F356=""),"",F356*IFERROR(INDEX(Товары!$C$4:$C$200,MATCH(E356,Товары!$B$4:$B$200,0)),0))</f>
        <v/>
      </c>
      <c r="M356" s="32" t="str">
        <f aca="false">IF(I356="","",I356-L356)</f>
        <v/>
      </c>
      <c r="N356" s="28"/>
      <c r="O356" s="28"/>
      <c r="P356" s="28"/>
      <c r="Q356" s="28"/>
      <c r="R356" s="35"/>
      <c r="S356" s="28"/>
    </row>
    <row r="357" customFormat="false" ht="15" hidden="false" customHeight="false" outlineLevel="0" collapsed="false">
      <c r="A357" s="34" t="str">
        <f aca="false">IF(E357="","",ROW()-3)</f>
        <v/>
      </c>
      <c r="B357" s="35"/>
      <c r="C357" s="28"/>
      <c r="D357" s="28"/>
      <c r="E357" s="28"/>
      <c r="F357" s="28"/>
      <c r="G357" s="32" t="str">
        <f aca="false">IF(E357="","",IFERROR(INDEX(Товары!$D$4:$D$200,MATCH(E357,Товары!$B$4:$B$200,0)),0))</f>
        <v/>
      </c>
      <c r="H357" s="29"/>
      <c r="I357" s="32" t="str">
        <f aca="false">IF(OR(E357="",F357=""),"",F357*G357-N(H357))</f>
        <v/>
      </c>
      <c r="J357" s="29"/>
      <c r="K357" s="32" t="str">
        <f aca="false">IF(AND(I357="",N(J357)=0),"",N(I357)+N(J357))</f>
        <v/>
      </c>
      <c r="L357" s="32" t="str">
        <f aca="false">IF(OR(E357="",F357=""),"",F357*IFERROR(INDEX(Товары!$C$4:$C$200,MATCH(E357,Товары!$B$4:$B$200,0)),0))</f>
        <v/>
      </c>
      <c r="M357" s="32" t="str">
        <f aca="false">IF(I357="","",I357-L357)</f>
        <v/>
      </c>
      <c r="N357" s="28"/>
      <c r="O357" s="28"/>
      <c r="P357" s="28"/>
      <c r="Q357" s="28"/>
      <c r="R357" s="35"/>
      <c r="S357" s="28"/>
    </row>
    <row r="358" customFormat="false" ht="15" hidden="false" customHeight="false" outlineLevel="0" collapsed="false">
      <c r="A358" s="34" t="str">
        <f aca="false">IF(E358="","",ROW()-3)</f>
        <v/>
      </c>
      <c r="B358" s="35"/>
      <c r="C358" s="28"/>
      <c r="D358" s="28"/>
      <c r="E358" s="28"/>
      <c r="F358" s="28"/>
      <c r="G358" s="32" t="str">
        <f aca="false">IF(E358="","",IFERROR(INDEX(Товары!$D$4:$D$200,MATCH(E358,Товары!$B$4:$B$200,0)),0))</f>
        <v/>
      </c>
      <c r="H358" s="29"/>
      <c r="I358" s="32" t="str">
        <f aca="false">IF(OR(E358="",F358=""),"",F358*G358-N(H358))</f>
        <v/>
      </c>
      <c r="J358" s="29"/>
      <c r="K358" s="32" t="str">
        <f aca="false">IF(AND(I358="",N(J358)=0),"",N(I358)+N(J358))</f>
        <v/>
      </c>
      <c r="L358" s="32" t="str">
        <f aca="false">IF(OR(E358="",F358=""),"",F358*IFERROR(INDEX(Товары!$C$4:$C$200,MATCH(E358,Товары!$B$4:$B$200,0)),0))</f>
        <v/>
      </c>
      <c r="M358" s="32" t="str">
        <f aca="false">IF(I358="","",I358-L358)</f>
        <v/>
      </c>
      <c r="N358" s="28"/>
      <c r="O358" s="28"/>
      <c r="P358" s="28"/>
      <c r="Q358" s="28"/>
      <c r="R358" s="35"/>
      <c r="S358" s="28"/>
    </row>
    <row r="359" customFormat="false" ht="15" hidden="false" customHeight="false" outlineLevel="0" collapsed="false">
      <c r="A359" s="34" t="str">
        <f aca="false">IF(E359="","",ROW()-3)</f>
        <v/>
      </c>
      <c r="B359" s="35"/>
      <c r="C359" s="28"/>
      <c r="D359" s="28"/>
      <c r="E359" s="28"/>
      <c r="F359" s="28"/>
      <c r="G359" s="32" t="str">
        <f aca="false">IF(E359="","",IFERROR(INDEX(Товары!$D$4:$D$200,MATCH(E359,Товары!$B$4:$B$200,0)),0))</f>
        <v/>
      </c>
      <c r="H359" s="29"/>
      <c r="I359" s="32" t="str">
        <f aca="false">IF(OR(E359="",F359=""),"",F359*G359-N(H359))</f>
        <v/>
      </c>
      <c r="J359" s="29"/>
      <c r="K359" s="32" t="str">
        <f aca="false">IF(AND(I359="",N(J359)=0),"",N(I359)+N(J359))</f>
        <v/>
      </c>
      <c r="L359" s="32" t="str">
        <f aca="false">IF(OR(E359="",F359=""),"",F359*IFERROR(INDEX(Товары!$C$4:$C$200,MATCH(E359,Товары!$B$4:$B$200,0)),0))</f>
        <v/>
      </c>
      <c r="M359" s="32" t="str">
        <f aca="false">IF(I359="","",I359-L359)</f>
        <v/>
      </c>
      <c r="N359" s="28"/>
      <c r="O359" s="28"/>
      <c r="P359" s="28"/>
      <c r="Q359" s="28"/>
      <c r="R359" s="35"/>
      <c r="S359" s="28"/>
    </row>
    <row r="360" customFormat="false" ht="15" hidden="false" customHeight="false" outlineLevel="0" collapsed="false">
      <c r="A360" s="34" t="str">
        <f aca="false">IF(E360="","",ROW()-3)</f>
        <v/>
      </c>
      <c r="B360" s="35"/>
      <c r="C360" s="28"/>
      <c r="D360" s="28"/>
      <c r="E360" s="28"/>
      <c r="F360" s="28"/>
      <c r="G360" s="32" t="str">
        <f aca="false">IF(E360="","",IFERROR(INDEX(Товары!$D$4:$D$200,MATCH(E360,Товары!$B$4:$B$200,0)),0))</f>
        <v/>
      </c>
      <c r="H360" s="29"/>
      <c r="I360" s="32" t="str">
        <f aca="false">IF(OR(E360="",F360=""),"",F360*G360-N(H360))</f>
        <v/>
      </c>
      <c r="J360" s="29"/>
      <c r="K360" s="32" t="str">
        <f aca="false">IF(AND(I360="",N(J360)=0),"",N(I360)+N(J360))</f>
        <v/>
      </c>
      <c r="L360" s="32" t="str">
        <f aca="false">IF(OR(E360="",F360=""),"",F360*IFERROR(INDEX(Товары!$C$4:$C$200,MATCH(E360,Товары!$B$4:$B$200,0)),0))</f>
        <v/>
      </c>
      <c r="M360" s="32" t="str">
        <f aca="false">IF(I360="","",I360-L360)</f>
        <v/>
      </c>
      <c r="N360" s="28"/>
      <c r="O360" s="28"/>
      <c r="P360" s="28"/>
      <c r="Q360" s="28"/>
      <c r="R360" s="35"/>
      <c r="S360" s="28"/>
    </row>
    <row r="361" customFormat="false" ht="15" hidden="false" customHeight="false" outlineLevel="0" collapsed="false">
      <c r="A361" s="34" t="str">
        <f aca="false">IF(E361="","",ROW()-3)</f>
        <v/>
      </c>
      <c r="B361" s="35"/>
      <c r="C361" s="28"/>
      <c r="D361" s="28"/>
      <c r="E361" s="28"/>
      <c r="F361" s="28"/>
      <c r="G361" s="32" t="str">
        <f aca="false">IF(E361="","",IFERROR(INDEX(Товары!$D$4:$D$200,MATCH(E361,Товары!$B$4:$B$200,0)),0))</f>
        <v/>
      </c>
      <c r="H361" s="29"/>
      <c r="I361" s="32" t="str">
        <f aca="false">IF(OR(E361="",F361=""),"",F361*G361-N(H361))</f>
        <v/>
      </c>
      <c r="J361" s="29"/>
      <c r="K361" s="32" t="str">
        <f aca="false">IF(AND(I361="",N(J361)=0),"",N(I361)+N(J361))</f>
        <v/>
      </c>
      <c r="L361" s="32" t="str">
        <f aca="false">IF(OR(E361="",F361=""),"",F361*IFERROR(INDEX(Товары!$C$4:$C$200,MATCH(E361,Товары!$B$4:$B$200,0)),0))</f>
        <v/>
      </c>
      <c r="M361" s="32" t="str">
        <f aca="false">IF(I361="","",I361-L361)</f>
        <v/>
      </c>
      <c r="N361" s="28"/>
      <c r="O361" s="28"/>
      <c r="P361" s="28"/>
      <c r="Q361" s="28"/>
      <c r="R361" s="35"/>
      <c r="S361" s="28"/>
    </row>
    <row r="362" customFormat="false" ht="15" hidden="false" customHeight="false" outlineLevel="0" collapsed="false">
      <c r="A362" s="34" t="str">
        <f aca="false">IF(E362="","",ROW()-3)</f>
        <v/>
      </c>
      <c r="B362" s="35"/>
      <c r="C362" s="28"/>
      <c r="D362" s="28"/>
      <c r="E362" s="28"/>
      <c r="F362" s="28"/>
      <c r="G362" s="32" t="str">
        <f aca="false">IF(E362="","",IFERROR(INDEX(Товары!$D$4:$D$200,MATCH(E362,Товары!$B$4:$B$200,0)),0))</f>
        <v/>
      </c>
      <c r="H362" s="29"/>
      <c r="I362" s="32" t="str">
        <f aca="false">IF(OR(E362="",F362=""),"",F362*G362-N(H362))</f>
        <v/>
      </c>
      <c r="J362" s="29"/>
      <c r="K362" s="32" t="str">
        <f aca="false">IF(AND(I362="",N(J362)=0),"",N(I362)+N(J362))</f>
        <v/>
      </c>
      <c r="L362" s="32" t="str">
        <f aca="false">IF(OR(E362="",F362=""),"",F362*IFERROR(INDEX(Товары!$C$4:$C$200,MATCH(E362,Товары!$B$4:$B$200,0)),0))</f>
        <v/>
      </c>
      <c r="M362" s="32" t="str">
        <f aca="false">IF(I362="","",I362-L362)</f>
        <v/>
      </c>
      <c r="N362" s="28"/>
      <c r="O362" s="28"/>
      <c r="P362" s="28"/>
      <c r="Q362" s="28"/>
      <c r="R362" s="35"/>
      <c r="S362" s="28"/>
    </row>
    <row r="363" customFormat="false" ht="15" hidden="false" customHeight="false" outlineLevel="0" collapsed="false">
      <c r="A363" s="34" t="str">
        <f aca="false">IF(E363="","",ROW()-3)</f>
        <v/>
      </c>
      <c r="B363" s="35"/>
      <c r="C363" s="28"/>
      <c r="D363" s="28"/>
      <c r="E363" s="28"/>
      <c r="F363" s="28"/>
      <c r="G363" s="32" t="str">
        <f aca="false">IF(E363="","",IFERROR(INDEX(Товары!$D$4:$D$200,MATCH(E363,Товары!$B$4:$B$200,0)),0))</f>
        <v/>
      </c>
      <c r="H363" s="29"/>
      <c r="I363" s="32" t="str">
        <f aca="false">IF(OR(E363="",F363=""),"",F363*G363-N(H363))</f>
        <v/>
      </c>
      <c r="J363" s="29"/>
      <c r="K363" s="32" t="str">
        <f aca="false">IF(AND(I363="",N(J363)=0),"",N(I363)+N(J363))</f>
        <v/>
      </c>
      <c r="L363" s="32" t="str">
        <f aca="false">IF(OR(E363="",F363=""),"",F363*IFERROR(INDEX(Товары!$C$4:$C$200,MATCH(E363,Товары!$B$4:$B$200,0)),0))</f>
        <v/>
      </c>
      <c r="M363" s="32" t="str">
        <f aca="false">IF(I363="","",I363-L363)</f>
        <v/>
      </c>
      <c r="N363" s="28"/>
      <c r="O363" s="28"/>
      <c r="P363" s="28"/>
      <c r="Q363" s="28"/>
      <c r="R363" s="35"/>
      <c r="S363" s="28"/>
    </row>
    <row r="364" customFormat="false" ht="15" hidden="false" customHeight="false" outlineLevel="0" collapsed="false">
      <c r="A364" s="34" t="str">
        <f aca="false">IF(E364="","",ROW()-3)</f>
        <v/>
      </c>
      <c r="B364" s="35"/>
      <c r="C364" s="28"/>
      <c r="D364" s="28"/>
      <c r="E364" s="28"/>
      <c r="F364" s="28"/>
      <c r="G364" s="32" t="str">
        <f aca="false">IF(E364="","",IFERROR(INDEX(Товары!$D$4:$D$200,MATCH(E364,Товары!$B$4:$B$200,0)),0))</f>
        <v/>
      </c>
      <c r="H364" s="29"/>
      <c r="I364" s="32" t="str">
        <f aca="false">IF(OR(E364="",F364=""),"",F364*G364-N(H364))</f>
        <v/>
      </c>
      <c r="J364" s="29"/>
      <c r="K364" s="32" t="str">
        <f aca="false">IF(AND(I364="",N(J364)=0),"",N(I364)+N(J364))</f>
        <v/>
      </c>
      <c r="L364" s="32" t="str">
        <f aca="false">IF(OR(E364="",F364=""),"",F364*IFERROR(INDEX(Товары!$C$4:$C$200,MATCH(E364,Товары!$B$4:$B$200,0)),0))</f>
        <v/>
      </c>
      <c r="M364" s="32" t="str">
        <f aca="false">IF(I364="","",I364-L364)</f>
        <v/>
      </c>
      <c r="N364" s="28"/>
      <c r="O364" s="28"/>
      <c r="P364" s="28"/>
      <c r="Q364" s="28"/>
      <c r="R364" s="35"/>
      <c r="S364" s="28"/>
    </row>
    <row r="365" customFormat="false" ht="15" hidden="false" customHeight="false" outlineLevel="0" collapsed="false">
      <c r="A365" s="34" t="str">
        <f aca="false">IF(E365="","",ROW()-3)</f>
        <v/>
      </c>
      <c r="B365" s="35"/>
      <c r="C365" s="28"/>
      <c r="D365" s="28"/>
      <c r="E365" s="28"/>
      <c r="F365" s="28"/>
      <c r="G365" s="32" t="str">
        <f aca="false">IF(E365="","",IFERROR(INDEX(Товары!$D$4:$D$200,MATCH(E365,Товары!$B$4:$B$200,0)),0))</f>
        <v/>
      </c>
      <c r="H365" s="29"/>
      <c r="I365" s="32" t="str">
        <f aca="false">IF(OR(E365="",F365=""),"",F365*G365-N(H365))</f>
        <v/>
      </c>
      <c r="J365" s="29"/>
      <c r="K365" s="32" t="str">
        <f aca="false">IF(AND(I365="",N(J365)=0),"",N(I365)+N(J365))</f>
        <v/>
      </c>
      <c r="L365" s="32" t="str">
        <f aca="false">IF(OR(E365="",F365=""),"",F365*IFERROR(INDEX(Товары!$C$4:$C$200,MATCH(E365,Товары!$B$4:$B$200,0)),0))</f>
        <v/>
      </c>
      <c r="M365" s="32" t="str">
        <f aca="false">IF(I365="","",I365-L365)</f>
        <v/>
      </c>
      <c r="N365" s="28"/>
      <c r="O365" s="28"/>
      <c r="P365" s="28"/>
      <c r="Q365" s="28"/>
      <c r="R365" s="35"/>
      <c r="S365" s="28"/>
    </row>
    <row r="366" customFormat="false" ht="15" hidden="false" customHeight="false" outlineLevel="0" collapsed="false">
      <c r="A366" s="34" t="str">
        <f aca="false">IF(E366="","",ROW()-3)</f>
        <v/>
      </c>
      <c r="B366" s="35"/>
      <c r="C366" s="28"/>
      <c r="D366" s="28"/>
      <c r="E366" s="28"/>
      <c r="F366" s="28"/>
      <c r="G366" s="32" t="str">
        <f aca="false">IF(E366="","",IFERROR(INDEX(Товары!$D$4:$D$200,MATCH(E366,Товары!$B$4:$B$200,0)),0))</f>
        <v/>
      </c>
      <c r="H366" s="29"/>
      <c r="I366" s="32" t="str">
        <f aca="false">IF(OR(E366="",F366=""),"",F366*G366-N(H366))</f>
        <v/>
      </c>
      <c r="J366" s="29"/>
      <c r="K366" s="32" t="str">
        <f aca="false">IF(AND(I366="",N(J366)=0),"",N(I366)+N(J366))</f>
        <v/>
      </c>
      <c r="L366" s="32" t="str">
        <f aca="false">IF(OR(E366="",F366=""),"",F366*IFERROR(INDEX(Товары!$C$4:$C$200,MATCH(E366,Товары!$B$4:$B$200,0)),0))</f>
        <v/>
      </c>
      <c r="M366" s="32" t="str">
        <f aca="false">IF(I366="","",I366-L366)</f>
        <v/>
      </c>
      <c r="N366" s="28"/>
      <c r="O366" s="28"/>
      <c r="P366" s="28"/>
      <c r="Q366" s="28"/>
      <c r="R366" s="35"/>
      <c r="S366" s="28"/>
    </row>
    <row r="367" customFormat="false" ht="15" hidden="false" customHeight="false" outlineLevel="0" collapsed="false">
      <c r="A367" s="34" t="str">
        <f aca="false">IF(E367="","",ROW()-3)</f>
        <v/>
      </c>
      <c r="B367" s="35"/>
      <c r="C367" s="28"/>
      <c r="D367" s="28"/>
      <c r="E367" s="28"/>
      <c r="F367" s="28"/>
      <c r="G367" s="32" t="str">
        <f aca="false">IF(E367="","",IFERROR(INDEX(Товары!$D$4:$D$200,MATCH(E367,Товары!$B$4:$B$200,0)),0))</f>
        <v/>
      </c>
      <c r="H367" s="29"/>
      <c r="I367" s="32" t="str">
        <f aca="false">IF(OR(E367="",F367=""),"",F367*G367-N(H367))</f>
        <v/>
      </c>
      <c r="J367" s="29"/>
      <c r="K367" s="32" t="str">
        <f aca="false">IF(AND(I367="",N(J367)=0),"",N(I367)+N(J367))</f>
        <v/>
      </c>
      <c r="L367" s="32" t="str">
        <f aca="false">IF(OR(E367="",F367=""),"",F367*IFERROR(INDEX(Товары!$C$4:$C$200,MATCH(E367,Товары!$B$4:$B$200,0)),0))</f>
        <v/>
      </c>
      <c r="M367" s="32" t="str">
        <f aca="false">IF(I367="","",I367-L367)</f>
        <v/>
      </c>
      <c r="N367" s="28"/>
      <c r="O367" s="28"/>
      <c r="P367" s="28"/>
      <c r="Q367" s="28"/>
      <c r="R367" s="35"/>
      <c r="S367" s="28"/>
    </row>
    <row r="368" customFormat="false" ht="15" hidden="false" customHeight="false" outlineLevel="0" collapsed="false">
      <c r="A368" s="34" t="str">
        <f aca="false">IF(E368="","",ROW()-3)</f>
        <v/>
      </c>
      <c r="B368" s="35"/>
      <c r="C368" s="28"/>
      <c r="D368" s="28"/>
      <c r="E368" s="28"/>
      <c r="F368" s="28"/>
      <c r="G368" s="32" t="str">
        <f aca="false">IF(E368="","",IFERROR(INDEX(Товары!$D$4:$D$200,MATCH(E368,Товары!$B$4:$B$200,0)),0))</f>
        <v/>
      </c>
      <c r="H368" s="29"/>
      <c r="I368" s="32" t="str">
        <f aca="false">IF(OR(E368="",F368=""),"",F368*G368-N(H368))</f>
        <v/>
      </c>
      <c r="J368" s="29"/>
      <c r="K368" s="32" t="str">
        <f aca="false">IF(AND(I368="",N(J368)=0),"",N(I368)+N(J368))</f>
        <v/>
      </c>
      <c r="L368" s="32" t="str">
        <f aca="false">IF(OR(E368="",F368=""),"",F368*IFERROR(INDEX(Товары!$C$4:$C$200,MATCH(E368,Товары!$B$4:$B$200,0)),0))</f>
        <v/>
      </c>
      <c r="M368" s="32" t="str">
        <f aca="false">IF(I368="","",I368-L368)</f>
        <v/>
      </c>
      <c r="N368" s="28"/>
      <c r="O368" s="28"/>
      <c r="P368" s="28"/>
      <c r="Q368" s="28"/>
      <c r="R368" s="35"/>
      <c r="S368" s="28"/>
    </row>
    <row r="369" customFormat="false" ht="15" hidden="false" customHeight="false" outlineLevel="0" collapsed="false">
      <c r="A369" s="34" t="str">
        <f aca="false">IF(E369="","",ROW()-3)</f>
        <v/>
      </c>
      <c r="B369" s="35"/>
      <c r="C369" s="28"/>
      <c r="D369" s="28"/>
      <c r="E369" s="28"/>
      <c r="F369" s="28"/>
      <c r="G369" s="32" t="str">
        <f aca="false">IF(E369="","",IFERROR(INDEX(Товары!$D$4:$D$200,MATCH(E369,Товары!$B$4:$B$200,0)),0))</f>
        <v/>
      </c>
      <c r="H369" s="29"/>
      <c r="I369" s="32" t="str">
        <f aca="false">IF(OR(E369="",F369=""),"",F369*G369-N(H369))</f>
        <v/>
      </c>
      <c r="J369" s="29"/>
      <c r="K369" s="32" t="str">
        <f aca="false">IF(AND(I369="",N(J369)=0),"",N(I369)+N(J369))</f>
        <v/>
      </c>
      <c r="L369" s="32" t="str">
        <f aca="false">IF(OR(E369="",F369=""),"",F369*IFERROR(INDEX(Товары!$C$4:$C$200,MATCH(E369,Товары!$B$4:$B$200,0)),0))</f>
        <v/>
      </c>
      <c r="M369" s="32" t="str">
        <f aca="false">IF(I369="","",I369-L369)</f>
        <v/>
      </c>
      <c r="N369" s="28"/>
      <c r="O369" s="28"/>
      <c r="P369" s="28"/>
      <c r="Q369" s="28"/>
      <c r="R369" s="35"/>
      <c r="S369" s="28"/>
    </row>
    <row r="370" customFormat="false" ht="15" hidden="false" customHeight="false" outlineLevel="0" collapsed="false">
      <c r="A370" s="34" t="str">
        <f aca="false">IF(E370="","",ROW()-3)</f>
        <v/>
      </c>
      <c r="B370" s="35"/>
      <c r="C370" s="28"/>
      <c r="D370" s="28"/>
      <c r="E370" s="28"/>
      <c r="F370" s="28"/>
      <c r="G370" s="32" t="str">
        <f aca="false">IF(E370="","",IFERROR(INDEX(Товары!$D$4:$D$200,MATCH(E370,Товары!$B$4:$B$200,0)),0))</f>
        <v/>
      </c>
      <c r="H370" s="29"/>
      <c r="I370" s="32" t="str">
        <f aca="false">IF(OR(E370="",F370=""),"",F370*G370-N(H370))</f>
        <v/>
      </c>
      <c r="J370" s="29"/>
      <c r="K370" s="32" t="str">
        <f aca="false">IF(AND(I370="",N(J370)=0),"",N(I370)+N(J370))</f>
        <v/>
      </c>
      <c r="L370" s="32" t="str">
        <f aca="false">IF(OR(E370="",F370=""),"",F370*IFERROR(INDEX(Товары!$C$4:$C$200,MATCH(E370,Товары!$B$4:$B$200,0)),0))</f>
        <v/>
      </c>
      <c r="M370" s="32" t="str">
        <f aca="false">IF(I370="","",I370-L370)</f>
        <v/>
      </c>
      <c r="N370" s="28"/>
      <c r="O370" s="28"/>
      <c r="P370" s="28"/>
      <c r="Q370" s="28"/>
      <c r="R370" s="35"/>
      <c r="S370" s="28"/>
    </row>
    <row r="371" customFormat="false" ht="15" hidden="false" customHeight="false" outlineLevel="0" collapsed="false">
      <c r="A371" s="34" t="str">
        <f aca="false">IF(E371="","",ROW()-3)</f>
        <v/>
      </c>
      <c r="B371" s="35"/>
      <c r="C371" s="28"/>
      <c r="D371" s="28"/>
      <c r="E371" s="28"/>
      <c r="F371" s="28"/>
      <c r="G371" s="32" t="str">
        <f aca="false">IF(E371="","",IFERROR(INDEX(Товары!$D$4:$D$200,MATCH(E371,Товары!$B$4:$B$200,0)),0))</f>
        <v/>
      </c>
      <c r="H371" s="29"/>
      <c r="I371" s="32" t="str">
        <f aca="false">IF(OR(E371="",F371=""),"",F371*G371-N(H371))</f>
        <v/>
      </c>
      <c r="J371" s="29"/>
      <c r="K371" s="32" t="str">
        <f aca="false">IF(AND(I371="",N(J371)=0),"",N(I371)+N(J371))</f>
        <v/>
      </c>
      <c r="L371" s="32" t="str">
        <f aca="false">IF(OR(E371="",F371=""),"",F371*IFERROR(INDEX(Товары!$C$4:$C$200,MATCH(E371,Товары!$B$4:$B$200,0)),0))</f>
        <v/>
      </c>
      <c r="M371" s="32" t="str">
        <f aca="false">IF(I371="","",I371-L371)</f>
        <v/>
      </c>
      <c r="N371" s="28"/>
      <c r="O371" s="28"/>
      <c r="P371" s="28"/>
      <c r="Q371" s="28"/>
      <c r="R371" s="35"/>
      <c r="S371" s="28"/>
    </row>
    <row r="372" customFormat="false" ht="15" hidden="false" customHeight="false" outlineLevel="0" collapsed="false">
      <c r="A372" s="34" t="str">
        <f aca="false">IF(E372="","",ROW()-3)</f>
        <v/>
      </c>
      <c r="B372" s="35"/>
      <c r="C372" s="28"/>
      <c r="D372" s="28"/>
      <c r="E372" s="28"/>
      <c r="F372" s="28"/>
      <c r="G372" s="32" t="str">
        <f aca="false">IF(E372="","",IFERROR(INDEX(Товары!$D$4:$D$200,MATCH(E372,Товары!$B$4:$B$200,0)),0))</f>
        <v/>
      </c>
      <c r="H372" s="29"/>
      <c r="I372" s="32" t="str">
        <f aca="false">IF(OR(E372="",F372=""),"",F372*G372-N(H372))</f>
        <v/>
      </c>
      <c r="J372" s="29"/>
      <c r="K372" s="32" t="str">
        <f aca="false">IF(AND(I372="",N(J372)=0),"",N(I372)+N(J372))</f>
        <v/>
      </c>
      <c r="L372" s="32" t="str">
        <f aca="false">IF(OR(E372="",F372=""),"",F372*IFERROR(INDEX(Товары!$C$4:$C$200,MATCH(E372,Товары!$B$4:$B$200,0)),0))</f>
        <v/>
      </c>
      <c r="M372" s="32" t="str">
        <f aca="false">IF(I372="","",I372-L372)</f>
        <v/>
      </c>
      <c r="N372" s="28"/>
      <c r="O372" s="28"/>
      <c r="P372" s="28"/>
      <c r="Q372" s="28"/>
      <c r="R372" s="35"/>
      <c r="S372" s="28"/>
    </row>
    <row r="373" customFormat="false" ht="15" hidden="false" customHeight="false" outlineLevel="0" collapsed="false">
      <c r="A373" s="34" t="str">
        <f aca="false">IF(E373="","",ROW()-3)</f>
        <v/>
      </c>
      <c r="B373" s="35"/>
      <c r="C373" s="28"/>
      <c r="D373" s="28"/>
      <c r="E373" s="28"/>
      <c r="F373" s="28"/>
      <c r="G373" s="32" t="str">
        <f aca="false">IF(E373="","",IFERROR(INDEX(Товары!$D$4:$D$200,MATCH(E373,Товары!$B$4:$B$200,0)),0))</f>
        <v/>
      </c>
      <c r="H373" s="29"/>
      <c r="I373" s="32" t="str">
        <f aca="false">IF(OR(E373="",F373=""),"",F373*G373-N(H373))</f>
        <v/>
      </c>
      <c r="J373" s="29"/>
      <c r="K373" s="32" t="str">
        <f aca="false">IF(AND(I373="",N(J373)=0),"",N(I373)+N(J373))</f>
        <v/>
      </c>
      <c r="L373" s="32" t="str">
        <f aca="false">IF(OR(E373="",F373=""),"",F373*IFERROR(INDEX(Товары!$C$4:$C$200,MATCH(E373,Товары!$B$4:$B$200,0)),0))</f>
        <v/>
      </c>
      <c r="M373" s="32" t="str">
        <f aca="false">IF(I373="","",I373-L373)</f>
        <v/>
      </c>
      <c r="N373" s="28"/>
      <c r="O373" s="28"/>
      <c r="P373" s="28"/>
      <c r="Q373" s="28"/>
      <c r="R373" s="35"/>
      <c r="S373" s="28"/>
    </row>
    <row r="374" customFormat="false" ht="15" hidden="false" customHeight="false" outlineLevel="0" collapsed="false">
      <c r="A374" s="34" t="str">
        <f aca="false">IF(E374="","",ROW()-3)</f>
        <v/>
      </c>
      <c r="B374" s="35"/>
      <c r="C374" s="28"/>
      <c r="D374" s="28"/>
      <c r="E374" s="28"/>
      <c r="F374" s="28"/>
      <c r="G374" s="32" t="str">
        <f aca="false">IF(E374="","",IFERROR(INDEX(Товары!$D$4:$D$200,MATCH(E374,Товары!$B$4:$B$200,0)),0))</f>
        <v/>
      </c>
      <c r="H374" s="29"/>
      <c r="I374" s="32" t="str">
        <f aca="false">IF(OR(E374="",F374=""),"",F374*G374-N(H374))</f>
        <v/>
      </c>
      <c r="J374" s="29"/>
      <c r="K374" s="32" t="str">
        <f aca="false">IF(AND(I374="",N(J374)=0),"",N(I374)+N(J374))</f>
        <v/>
      </c>
      <c r="L374" s="32" t="str">
        <f aca="false">IF(OR(E374="",F374=""),"",F374*IFERROR(INDEX(Товары!$C$4:$C$200,MATCH(E374,Товары!$B$4:$B$200,0)),0))</f>
        <v/>
      </c>
      <c r="M374" s="32" t="str">
        <f aca="false">IF(I374="","",I374-L374)</f>
        <v/>
      </c>
      <c r="N374" s="28"/>
      <c r="O374" s="28"/>
      <c r="P374" s="28"/>
      <c r="Q374" s="28"/>
      <c r="R374" s="35"/>
      <c r="S374" s="28"/>
    </row>
    <row r="375" customFormat="false" ht="15" hidden="false" customHeight="false" outlineLevel="0" collapsed="false">
      <c r="A375" s="34" t="str">
        <f aca="false">IF(E375="","",ROW()-3)</f>
        <v/>
      </c>
      <c r="B375" s="35"/>
      <c r="C375" s="28"/>
      <c r="D375" s="28"/>
      <c r="E375" s="28"/>
      <c r="F375" s="28"/>
      <c r="G375" s="32" t="str">
        <f aca="false">IF(E375="","",IFERROR(INDEX(Товары!$D$4:$D$200,MATCH(E375,Товары!$B$4:$B$200,0)),0))</f>
        <v/>
      </c>
      <c r="H375" s="29"/>
      <c r="I375" s="32" t="str">
        <f aca="false">IF(OR(E375="",F375=""),"",F375*G375-N(H375))</f>
        <v/>
      </c>
      <c r="J375" s="29"/>
      <c r="K375" s="32" t="str">
        <f aca="false">IF(AND(I375="",N(J375)=0),"",N(I375)+N(J375))</f>
        <v/>
      </c>
      <c r="L375" s="32" t="str">
        <f aca="false">IF(OR(E375="",F375=""),"",F375*IFERROR(INDEX(Товары!$C$4:$C$200,MATCH(E375,Товары!$B$4:$B$200,0)),0))</f>
        <v/>
      </c>
      <c r="M375" s="32" t="str">
        <f aca="false">IF(I375="","",I375-L375)</f>
        <v/>
      </c>
      <c r="N375" s="28"/>
      <c r="O375" s="28"/>
      <c r="P375" s="28"/>
      <c r="Q375" s="28"/>
      <c r="R375" s="35"/>
      <c r="S375" s="28"/>
    </row>
    <row r="376" customFormat="false" ht="15" hidden="false" customHeight="false" outlineLevel="0" collapsed="false">
      <c r="A376" s="34" t="str">
        <f aca="false">IF(E376="","",ROW()-3)</f>
        <v/>
      </c>
      <c r="B376" s="35"/>
      <c r="C376" s="28"/>
      <c r="D376" s="28"/>
      <c r="E376" s="28"/>
      <c r="F376" s="28"/>
      <c r="G376" s="32" t="str">
        <f aca="false">IF(E376="","",IFERROR(INDEX(Товары!$D$4:$D$200,MATCH(E376,Товары!$B$4:$B$200,0)),0))</f>
        <v/>
      </c>
      <c r="H376" s="29"/>
      <c r="I376" s="32" t="str">
        <f aca="false">IF(OR(E376="",F376=""),"",F376*G376-N(H376))</f>
        <v/>
      </c>
      <c r="J376" s="29"/>
      <c r="K376" s="32" t="str">
        <f aca="false">IF(AND(I376="",N(J376)=0),"",N(I376)+N(J376))</f>
        <v/>
      </c>
      <c r="L376" s="32" t="str">
        <f aca="false">IF(OR(E376="",F376=""),"",F376*IFERROR(INDEX(Товары!$C$4:$C$200,MATCH(E376,Товары!$B$4:$B$200,0)),0))</f>
        <v/>
      </c>
      <c r="M376" s="32" t="str">
        <f aca="false">IF(I376="","",I376-L376)</f>
        <v/>
      </c>
      <c r="N376" s="28"/>
      <c r="O376" s="28"/>
      <c r="P376" s="28"/>
      <c r="Q376" s="28"/>
      <c r="R376" s="35"/>
      <c r="S376" s="28"/>
    </row>
    <row r="377" customFormat="false" ht="15" hidden="false" customHeight="false" outlineLevel="0" collapsed="false">
      <c r="A377" s="34" t="str">
        <f aca="false">IF(E377="","",ROW()-3)</f>
        <v/>
      </c>
      <c r="B377" s="35"/>
      <c r="C377" s="28"/>
      <c r="D377" s="28"/>
      <c r="E377" s="28"/>
      <c r="F377" s="28"/>
      <c r="G377" s="32" t="str">
        <f aca="false">IF(E377="","",IFERROR(INDEX(Товары!$D$4:$D$200,MATCH(E377,Товары!$B$4:$B$200,0)),0))</f>
        <v/>
      </c>
      <c r="H377" s="29"/>
      <c r="I377" s="32" t="str">
        <f aca="false">IF(OR(E377="",F377=""),"",F377*G377-N(H377))</f>
        <v/>
      </c>
      <c r="J377" s="29"/>
      <c r="K377" s="32" t="str">
        <f aca="false">IF(AND(I377="",N(J377)=0),"",N(I377)+N(J377))</f>
        <v/>
      </c>
      <c r="L377" s="32" t="str">
        <f aca="false">IF(OR(E377="",F377=""),"",F377*IFERROR(INDEX(Товары!$C$4:$C$200,MATCH(E377,Товары!$B$4:$B$200,0)),0))</f>
        <v/>
      </c>
      <c r="M377" s="32" t="str">
        <f aca="false">IF(I377="","",I377-L377)</f>
        <v/>
      </c>
      <c r="N377" s="28"/>
      <c r="O377" s="28"/>
      <c r="P377" s="28"/>
      <c r="Q377" s="28"/>
      <c r="R377" s="35"/>
      <c r="S377" s="28"/>
    </row>
    <row r="378" customFormat="false" ht="15" hidden="false" customHeight="false" outlineLevel="0" collapsed="false">
      <c r="A378" s="34" t="str">
        <f aca="false">IF(E378="","",ROW()-3)</f>
        <v/>
      </c>
      <c r="B378" s="35"/>
      <c r="C378" s="28"/>
      <c r="D378" s="28"/>
      <c r="E378" s="28"/>
      <c r="F378" s="28"/>
      <c r="G378" s="32" t="str">
        <f aca="false">IF(E378="","",IFERROR(INDEX(Товары!$D$4:$D$200,MATCH(E378,Товары!$B$4:$B$200,0)),0))</f>
        <v/>
      </c>
      <c r="H378" s="29"/>
      <c r="I378" s="32" t="str">
        <f aca="false">IF(OR(E378="",F378=""),"",F378*G378-N(H378))</f>
        <v/>
      </c>
      <c r="J378" s="29"/>
      <c r="K378" s="32" t="str">
        <f aca="false">IF(AND(I378="",N(J378)=0),"",N(I378)+N(J378))</f>
        <v/>
      </c>
      <c r="L378" s="32" t="str">
        <f aca="false">IF(OR(E378="",F378=""),"",F378*IFERROR(INDEX(Товары!$C$4:$C$200,MATCH(E378,Товары!$B$4:$B$200,0)),0))</f>
        <v/>
      </c>
      <c r="M378" s="32" t="str">
        <f aca="false">IF(I378="","",I378-L378)</f>
        <v/>
      </c>
      <c r="N378" s="28"/>
      <c r="O378" s="28"/>
      <c r="P378" s="28"/>
      <c r="Q378" s="28"/>
      <c r="R378" s="35"/>
      <c r="S378" s="28"/>
    </row>
    <row r="379" customFormat="false" ht="15" hidden="false" customHeight="false" outlineLevel="0" collapsed="false">
      <c r="A379" s="34" t="str">
        <f aca="false">IF(E379="","",ROW()-3)</f>
        <v/>
      </c>
      <c r="B379" s="35"/>
      <c r="C379" s="28"/>
      <c r="D379" s="28"/>
      <c r="E379" s="28"/>
      <c r="F379" s="28"/>
      <c r="G379" s="32" t="str">
        <f aca="false">IF(E379="","",IFERROR(INDEX(Товары!$D$4:$D$200,MATCH(E379,Товары!$B$4:$B$200,0)),0))</f>
        <v/>
      </c>
      <c r="H379" s="29"/>
      <c r="I379" s="32" t="str">
        <f aca="false">IF(OR(E379="",F379=""),"",F379*G379-N(H379))</f>
        <v/>
      </c>
      <c r="J379" s="29"/>
      <c r="K379" s="32" t="str">
        <f aca="false">IF(AND(I379="",N(J379)=0),"",N(I379)+N(J379))</f>
        <v/>
      </c>
      <c r="L379" s="32" t="str">
        <f aca="false">IF(OR(E379="",F379=""),"",F379*IFERROR(INDEX(Товары!$C$4:$C$200,MATCH(E379,Товары!$B$4:$B$200,0)),0))</f>
        <v/>
      </c>
      <c r="M379" s="32" t="str">
        <f aca="false">IF(I379="","",I379-L379)</f>
        <v/>
      </c>
      <c r="N379" s="28"/>
      <c r="O379" s="28"/>
      <c r="P379" s="28"/>
      <c r="Q379" s="28"/>
      <c r="R379" s="35"/>
      <c r="S379" s="28"/>
    </row>
    <row r="380" customFormat="false" ht="15" hidden="false" customHeight="false" outlineLevel="0" collapsed="false">
      <c r="A380" s="34" t="str">
        <f aca="false">IF(E380="","",ROW()-3)</f>
        <v/>
      </c>
      <c r="B380" s="35"/>
      <c r="C380" s="28"/>
      <c r="D380" s="28"/>
      <c r="E380" s="28"/>
      <c r="F380" s="28"/>
      <c r="G380" s="32" t="str">
        <f aca="false">IF(E380="","",IFERROR(INDEX(Товары!$D$4:$D$200,MATCH(E380,Товары!$B$4:$B$200,0)),0))</f>
        <v/>
      </c>
      <c r="H380" s="29"/>
      <c r="I380" s="32" t="str">
        <f aca="false">IF(OR(E380="",F380=""),"",F380*G380-N(H380))</f>
        <v/>
      </c>
      <c r="J380" s="29"/>
      <c r="K380" s="32" t="str">
        <f aca="false">IF(AND(I380="",N(J380)=0),"",N(I380)+N(J380))</f>
        <v/>
      </c>
      <c r="L380" s="32" t="str">
        <f aca="false">IF(OR(E380="",F380=""),"",F380*IFERROR(INDEX(Товары!$C$4:$C$200,MATCH(E380,Товары!$B$4:$B$200,0)),0))</f>
        <v/>
      </c>
      <c r="M380" s="32" t="str">
        <f aca="false">IF(I380="","",I380-L380)</f>
        <v/>
      </c>
      <c r="N380" s="28"/>
      <c r="O380" s="28"/>
      <c r="P380" s="28"/>
      <c r="Q380" s="28"/>
      <c r="R380" s="35"/>
      <c r="S380" s="28"/>
    </row>
    <row r="381" customFormat="false" ht="15" hidden="false" customHeight="false" outlineLevel="0" collapsed="false">
      <c r="A381" s="34" t="str">
        <f aca="false">IF(E381="","",ROW()-3)</f>
        <v/>
      </c>
      <c r="B381" s="35"/>
      <c r="C381" s="28"/>
      <c r="D381" s="28"/>
      <c r="E381" s="28"/>
      <c r="F381" s="28"/>
      <c r="G381" s="32" t="str">
        <f aca="false">IF(E381="","",IFERROR(INDEX(Товары!$D$4:$D$200,MATCH(E381,Товары!$B$4:$B$200,0)),0))</f>
        <v/>
      </c>
      <c r="H381" s="29"/>
      <c r="I381" s="32" t="str">
        <f aca="false">IF(OR(E381="",F381=""),"",F381*G381-N(H381))</f>
        <v/>
      </c>
      <c r="J381" s="29"/>
      <c r="K381" s="32" t="str">
        <f aca="false">IF(AND(I381="",N(J381)=0),"",N(I381)+N(J381))</f>
        <v/>
      </c>
      <c r="L381" s="32" t="str">
        <f aca="false">IF(OR(E381="",F381=""),"",F381*IFERROR(INDEX(Товары!$C$4:$C$200,MATCH(E381,Товары!$B$4:$B$200,0)),0))</f>
        <v/>
      </c>
      <c r="M381" s="32" t="str">
        <f aca="false">IF(I381="","",I381-L381)</f>
        <v/>
      </c>
      <c r="N381" s="28"/>
      <c r="O381" s="28"/>
      <c r="P381" s="28"/>
      <c r="Q381" s="28"/>
      <c r="R381" s="35"/>
      <c r="S381" s="28"/>
    </row>
    <row r="382" customFormat="false" ht="15" hidden="false" customHeight="false" outlineLevel="0" collapsed="false">
      <c r="A382" s="34" t="str">
        <f aca="false">IF(E382="","",ROW()-3)</f>
        <v/>
      </c>
      <c r="B382" s="35"/>
      <c r="C382" s="28"/>
      <c r="D382" s="28"/>
      <c r="E382" s="28"/>
      <c r="F382" s="28"/>
      <c r="G382" s="32" t="str">
        <f aca="false">IF(E382="","",IFERROR(INDEX(Товары!$D$4:$D$200,MATCH(E382,Товары!$B$4:$B$200,0)),0))</f>
        <v/>
      </c>
      <c r="H382" s="29"/>
      <c r="I382" s="32" t="str">
        <f aca="false">IF(OR(E382="",F382=""),"",F382*G382-N(H382))</f>
        <v/>
      </c>
      <c r="J382" s="29"/>
      <c r="K382" s="32" t="str">
        <f aca="false">IF(AND(I382="",N(J382)=0),"",N(I382)+N(J382))</f>
        <v/>
      </c>
      <c r="L382" s="32" t="str">
        <f aca="false">IF(OR(E382="",F382=""),"",F382*IFERROR(INDEX(Товары!$C$4:$C$200,MATCH(E382,Товары!$B$4:$B$200,0)),0))</f>
        <v/>
      </c>
      <c r="M382" s="32" t="str">
        <f aca="false">IF(I382="","",I382-L382)</f>
        <v/>
      </c>
      <c r="N382" s="28"/>
      <c r="O382" s="28"/>
      <c r="P382" s="28"/>
      <c r="Q382" s="28"/>
      <c r="R382" s="35"/>
      <c r="S382" s="28"/>
    </row>
    <row r="383" customFormat="false" ht="15" hidden="false" customHeight="false" outlineLevel="0" collapsed="false">
      <c r="A383" s="34" t="str">
        <f aca="false">IF(E383="","",ROW()-3)</f>
        <v/>
      </c>
      <c r="B383" s="35"/>
      <c r="C383" s="28"/>
      <c r="D383" s="28"/>
      <c r="E383" s="28"/>
      <c r="F383" s="28"/>
      <c r="G383" s="32" t="str">
        <f aca="false">IF(E383="","",IFERROR(INDEX(Товары!$D$4:$D$200,MATCH(E383,Товары!$B$4:$B$200,0)),0))</f>
        <v/>
      </c>
      <c r="H383" s="29"/>
      <c r="I383" s="32" t="str">
        <f aca="false">IF(OR(E383="",F383=""),"",F383*G383-N(H383))</f>
        <v/>
      </c>
      <c r="J383" s="29"/>
      <c r="K383" s="32" t="str">
        <f aca="false">IF(AND(I383="",N(J383)=0),"",N(I383)+N(J383))</f>
        <v/>
      </c>
      <c r="L383" s="32" t="str">
        <f aca="false">IF(OR(E383="",F383=""),"",F383*IFERROR(INDEX(Товары!$C$4:$C$200,MATCH(E383,Товары!$B$4:$B$200,0)),0))</f>
        <v/>
      </c>
      <c r="M383" s="32" t="str">
        <f aca="false">IF(I383="","",I383-L383)</f>
        <v/>
      </c>
      <c r="N383" s="28"/>
      <c r="O383" s="28"/>
      <c r="P383" s="28"/>
      <c r="Q383" s="28"/>
      <c r="R383" s="35"/>
      <c r="S383" s="28"/>
    </row>
    <row r="384" customFormat="false" ht="15" hidden="false" customHeight="false" outlineLevel="0" collapsed="false">
      <c r="A384" s="34" t="str">
        <f aca="false">IF(E384="","",ROW()-3)</f>
        <v/>
      </c>
      <c r="B384" s="35"/>
      <c r="C384" s="28"/>
      <c r="D384" s="28"/>
      <c r="E384" s="28"/>
      <c r="F384" s="28"/>
      <c r="G384" s="32" t="str">
        <f aca="false">IF(E384="","",IFERROR(INDEX(Товары!$D$4:$D$200,MATCH(E384,Товары!$B$4:$B$200,0)),0))</f>
        <v/>
      </c>
      <c r="H384" s="29"/>
      <c r="I384" s="32" t="str">
        <f aca="false">IF(OR(E384="",F384=""),"",F384*G384-N(H384))</f>
        <v/>
      </c>
      <c r="J384" s="29"/>
      <c r="K384" s="32" t="str">
        <f aca="false">IF(AND(I384="",N(J384)=0),"",N(I384)+N(J384))</f>
        <v/>
      </c>
      <c r="L384" s="32" t="str">
        <f aca="false">IF(OR(E384="",F384=""),"",F384*IFERROR(INDEX(Товары!$C$4:$C$200,MATCH(E384,Товары!$B$4:$B$200,0)),0))</f>
        <v/>
      </c>
      <c r="M384" s="32" t="str">
        <f aca="false">IF(I384="","",I384-L384)</f>
        <v/>
      </c>
      <c r="N384" s="28"/>
      <c r="O384" s="28"/>
      <c r="P384" s="28"/>
      <c r="Q384" s="28"/>
      <c r="R384" s="35"/>
      <c r="S384" s="28"/>
    </row>
    <row r="385" customFormat="false" ht="15" hidden="false" customHeight="false" outlineLevel="0" collapsed="false">
      <c r="A385" s="34" t="str">
        <f aca="false">IF(E385="","",ROW()-3)</f>
        <v/>
      </c>
      <c r="B385" s="35"/>
      <c r="C385" s="28"/>
      <c r="D385" s="28"/>
      <c r="E385" s="28"/>
      <c r="F385" s="28"/>
      <c r="G385" s="32" t="str">
        <f aca="false">IF(E385="","",IFERROR(INDEX(Товары!$D$4:$D$200,MATCH(E385,Товары!$B$4:$B$200,0)),0))</f>
        <v/>
      </c>
      <c r="H385" s="29"/>
      <c r="I385" s="32" t="str">
        <f aca="false">IF(OR(E385="",F385=""),"",F385*G385-N(H385))</f>
        <v/>
      </c>
      <c r="J385" s="29"/>
      <c r="K385" s="32" t="str">
        <f aca="false">IF(AND(I385="",N(J385)=0),"",N(I385)+N(J385))</f>
        <v/>
      </c>
      <c r="L385" s="32" t="str">
        <f aca="false">IF(OR(E385="",F385=""),"",F385*IFERROR(INDEX(Товары!$C$4:$C$200,MATCH(E385,Товары!$B$4:$B$200,0)),0))</f>
        <v/>
      </c>
      <c r="M385" s="32" t="str">
        <f aca="false">IF(I385="","",I385-L385)</f>
        <v/>
      </c>
      <c r="N385" s="28"/>
      <c r="O385" s="28"/>
      <c r="P385" s="28"/>
      <c r="Q385" s="28"/>
      <c r="R385" s="35"/>
      <c r="S385" s="28"/>
    </row>
    <row r="386" customFormat="false" ht="15" hidden="false" customHeight="false" outlineLevel="0" collapsed="false">
      <c r="A386" s="34" t="str">
        <f aca="false">IF(E386="","",ROW()-3)</f>
        <v/>
      </c>
      <c r="B386" s="35"/>
      <c r="C386" s="28"/>
      <c r="D386" s="28"/>
      <c r="E386" s="28"/>
      <c r="F386" s="28"/>
      <c r="G386" s="32" t="str">
        <f aca="false">IF(E386="","",IFERROR(INDEX(Товары!$D$4:$D$200,MATCH(E386,Товары!$B$4:$B$200,0)),0))</f>
        <v/>
      </c>
      <c r="H386" s="29"/>
      <c r="I386" s="32" t="str">
        <f aca="false">IF(OR(E386="",F386=""),"",F386*G386-N(H386))</f>
        <v/>
      </c>
      <c r="J386" s="29"/>
      <c r="K386" s="32" t="str">
        <f aca="false">IF(AND(I386="",N(J386)=0),"",N(I386)+N(J386))</f>
        <v/>
      </c>
      <c r="L386" s="32" t="str">
        <f aca="false">IF(OR(E386="",F386=""),"",F386*IFERROR(INDEX(Товары!$C$4:$C$200,MATCH(E386,Товары!$B$4:$B$200,0)),0))</f>
        <v/>
      </c>
      <c r="M386" s="32" t="str">
        <f aca="false">IF(I386="","",I386-L386)</f>
        <v/>
      </c>
      <c r="N386" s="28"/>
      <c r="O386" s="28"/>
      <c r="P386" s="28"/>
      <c r="Q386" s="28"/>
      <c r="R386" s="35"/>
      <c r="S386" s="28"/>
    </row>
    <row r="387" customFormat="false" ht="15" hidden="false" customHeight="false" outlineLevel="0" collapsed="false">
      <c r="A387" s="34" t="str">
        <f aca="false">IF(E387="","",ROW()-3)</f>
        <v/>
      </c>
      <c r="B387" s="35"/>
      <c r="C387" s="28"/>
      <c r="D387" s="28"/>
      <c r="E387" s="28"/>
      <c r="F387" s="28"/>
      <c r="G387" s="32" t="str">
        <f aca="false">IF(E387="","",IFERROR(INDEX(Товары!$D$4:$D$200,MATCH(E387,Товары!$B$4:$B$200,0)),0))</f>
        <v/>
      </c>
      <c r="H387" s="29"/>
      <c r="I387" s="32" t="str">
        <f aca="false">IF(OR(E387="",F387=""),"",F387*G387-N(H387))</f>
        <v/>
      </c>
      <c r="J387" s="29"/>
      <c r="K387" s="32" t="str">
        <f aca="false">IF(AND(I387="",N(J387)=0),"",N(I387)+N(J387))</f>
        <v/>
      </c>
      <c r="L387" s="32" t="str">
        <f aca="false">IF(OR(E387="",F387=""),"",F387*IFERROR(INDEX(Товары!$C$4:$C$200,MATCH(E387,Товары!$B$4:$B$200,0)),0))</f>
        <v/>
      </c>
      <c r="M387" s="32" t="str">
        <f aca="false">IF(I387="","",I387-L387)</f>
        <v/>
      </c>
      <c r="N387" s="28"/>
      <c r="O387" s="28"/>
      <c r="P387" s="28"/>
      <c r="Q387" s="28"/>
      <c r="R387" s="35"/>
      <c r="S387" s="28"/>
    </row>
    <row r="388" customFormat="false" ht="15" hidden="false" customHeight="false" outlineLevel="0" collapsed="false">
      <c r="A388" s="34" t="str">
        <f aca="false">IF(E388="","",ROW()-3)</f>
        <v/>
      </c>
      <c r="B388" s="35"/>
      <c r="C388" s="28"/>
      <c r="D388" s="28"/>
      <c r="E388" s="28"/>
      <c r="F388" s="28"/>
      <c r="G388" s="32" t="str">
        <f aca="false">IF(E388="","",IFERROR(INDEX(Товары!$D$4:$D$200,MATCH(E388,Товары!$B$4:$B$200,0)),0))</f>
        <v/>
      </c>
      <c r="H388" s="29"/>
      <c r="I388" s="32" t="str">
        <f aca="false">IF(OR(E388="",F388=""),"",F388*G388-N(H388))</f>
        <v/>
      </c>
      <c r="J388" s="29"/>
      <c r="K388" s="32" t="str">
        <f aca="false">IF(AND(I388="",N(J388)=0),"",N(I388)+N(J388))</f>
        <v/>
      </c>
      <c r="L388" s="32" t="str">
        <f aca="false">IF(OR(E388="",F388=""),"",F388*IFERROR(INDEX(Товары!$C$4:$C$200,MATCH(E388,Товары!$B$4:$B$200,0)),0))</f>
        <v/>
      </c>
      <c r="M388" s="32" t="str">
        <f aca="false">IF(I388="","",I388-L388)</f>
        <v/>
      </c>
      <c r="N388" s="28"/>
      <c r="O388" s="28"/>
      <c r="P388" s="28"/>
      <c r="Q388" s="28"/>
      <c r="R388" s="35"/>
      <c r="S388" s="28"/>
    </row>
    <row r="389" customFormat="false" ht="15" hidden="false" customHeight="false" outlineLevel="0" collapsed="false">
      <c r="A389" s="34" t="str">
        <f aca="false">IF(E389="","",ROW()-3)</f>
        <v/>
      </c>
      <c r="B389" s="35"/>
      <c r="C389" s="28"/>
      <c r="D389" s="28"/>
      <c r="E389" s="28"/>
      <c r="F389" s="28"/>
      <c r="G389" s="32" t="str">
        <f aca="false">IF(E389="","",IFERROR(INDEX(Товары!$D$4:$D$200,MATCH(E389,Товары!$B$4:$B$200,0)),0))</f>
        <v/>
      </c>
      <c r="H389" s="29"/>
      <c r="I389" s="32" t="str">
        <f aca="false">IF(OR(E389="",F389=""),"",F389*G389-N(H389))</f>
        <v/>
      </c>
      <c r="J389" s="29"/>
      <c r="K389" s="32" t="str">
        <f aca="false">IF(AND(I389="",N(J389)=0),"",N(I389)+N(J389))</f>
        <v/>
      </c>
      <c r="L389" s="32" t="str">
        <f aca="false">IF(OR(E389="",F389=""),"",F389*IFERROR(INDEX(Товары!$C$4:$C$200,MATCH(E389,Товары!$B$4:$B$200,0)),0))</f>
        <v/>
      </c>
      <c r="M389" s="32" t="str">
        <f aca="false">IF(I389="","",I389-L389)</f>
        <v/>
      </c>
      <c r="N389" s="28"/>
      <c r="O389" s="28"/>
      <c r="P389" s="28"/>
      <c r="Q389" s="28"/>
      <c r="R389" s="35"/>
      <c r="S389" s="28"/>
    </row>
    <row r="390" customFormat="false" ht="15" hidden="false" customHeight="false" outlineLevel="0" collapsed="false">
      <c r="A390" s="34" t="str">
        <f aca="false">IF(E390="","",ROW()-3)</f>
        <v/>
      </c>
      <c r="B390" s="35"/>
      <c r="C390" s="28"/>
      <c r="D390" s="28"/>
      <c r="E390" s="28"/>
      <c r="F390" s="28"/>
      <c r="G390" s="32" t="str">
        <f aca="false">IF(E390="","",IFERROR(INDEX(Товары!$D$4:$D$200,MATCH(E390,Товары!$B$4:$B$200,0)),0))</f>
        <v/>
      </c>
      <c r="H390" s="29"/>
      <c r="I390" s="32" t="str">
        <f aca="false">IF(OR(E390="",F390=""),"",F390*G390-N(H390))</f>
        <v/>
      </c>
      <c r="J390" s="29"/>
      <c r="K390" s="32" t="str">
        <f aca="false">IF(AND(I390="",N(J390)=0),"",N(I390)+N(J390))</f>
        <v/>
      </c>
      <c r="L390" s="32" t="str">
        <f aca="false">IF(OR(E390="",F390=""),"",F390*IFERROR(INDEX(Товары!$C$4:$C$200,MATCH(E390,Товары!$B$4:$B$200,0)),0))</f>
        <v/>
      </c>
      <c r="M390" s="32" t="str">
        <f aca="false">IF(I390="","",I390-L390)</f>
        <v/>
      </c>
      <c r="N390" s="28"/>
      <c r="O390" s="28"/>
      <c r="P390" s="28"/>
      <c r="Q390" s="28"/>
      <c r="R390" s="35"/>
      <c r="S390" s="28"/>
    </row>
    <row r="391" customFormat="false" ht="15" hidden="false" customHeight="false" outlineLevel="0" collapsed="false">
      <c r="A391" s="34" t="str">
        <f aca="false">IF(E391="","",ROW()-3)</f>
        <v/>
      </c>
      <c r="B391" s="35"/>
      <c r="C391" s="28"/>
      <c r="D391" s="28"/>
      <c r="E391" s="28"/>
      <c r="F391" s="28"/>
      <c r="G391" s="32" t="str">
        <f aca="false">IF(E391="","",IFERROR(INDEX(Товары!$D$4:$D$200,MATCH(E391,Товары!$B$4:$B$200,0)),0))</f>
        <v/>
      </c>
      <c r="H391" s="29"/>
      <c r="I391" s="32" t="str">
        <f aca="false">IF(OR(E391="",F391=""),"",F391*G391-N(H391))</f>
        <v/>
      </c>
      <c r="J391" s="29"/>
      <c r="K391" s="32" t="str">
        <f aca="false">IF(AND(I391="",N(J391)=0),"",N(I391)+N(J391))</f>
        <v/>
      </c>
      <c r="L391" s="32" t="str">
        <f aca="false">IF(OR(E391="",F391=""),"",F391*IFERROR(INDEX(Товары!$C$4:$C$200,MATCH(E391,Товары!$B$4:$B$200,0)),0))</f>
        <v/>
      </c>
      <c r="M391" s="32" t="str">
        <f aca="false">IF(I391="","",I391-L391)</f>
        <v/>
      </c>
      <c r="N391" s="28"/>
      <c r="O391" s="28"/>
      <c r="P391" s="28"/>
      <c r="Q391" s="28"/>
      <c r="R391" s="35"/>
      <c r="S391" s="28"/>
    </row>
    <row r="392" customFormat="false" ht="15" hidden="false" customHeight="false" outlineLevel="0" collapsed="false">
      <c r="A392" s="34" t="str">
        <f aca="false">IF(E392="","",ROW()-3)</f>
        <v/>
      </c>
      <c r="B392" s="35"/>
      <c r="C392" s="28"/>
      <c r="D392" s="28"/>
      <c r="E392" s="28"/>
      <c r="F392" s="28"/>
      <c r="G392" s="32" t="str">
        <f aca="false">IF(E392="","",IFERROR(INDEX(Товары!$D$4:$D$200,MATCH(E392,Товары!$B$4:$B$200,0)),0))</f>
        <v/>
      </c>
      <c r="H392" s="29"/>
      <c r="I392" s="32" t="str">
        <f aca="false">IF(OR(E392="",F392=""),"",F392*G392-N(H392))</f>
        <v/>
      </c>
      <c r="J392" s="29"/>
      <c r="K392" s="32" t="str">
        <f aca="false">IF(AND(I392="",N(J392)=0),"",N(I392)+N(J392))</f>
        <v/>
      </c>
      <c r="L392" s="32" t="str">
        <f aca="false">IF(OR(E392="",F392=""),"",F392*IFERROR(INDEX(Товары!$C$4:$C$200,MATCH(E392,Товары!$B$4:$B$200,0)),0))</f>
        <v/>
      </c>
      <c r="M392" s="32" t="str">
        <f aca="false">IF(I392="","",I392-L392)</f>
        <v/>
      </c>
      <c r="N392" s="28"/>
      <c r="O392" s="28"/>
      <c r="P392" s="28"/>
      <c r="Q392" s="28"/>
      <c r="R392" s="35"/>
      <c r="S392" s="28"/>
    </row>
    <row r="393" customFormat="false" ht="15" hidden="false" customHeight="false" outlineLevel="0" collapsed="false">
      <c r="A393" s="34" t="str">
        <f aca="false">IF(E393="","",ROW()-3)</f>
        <v/>
      </c>
      <c r="B393" s="35"/>
      <c r="C393" s="28"/>
      <c r="D393" s="28"/>
      <c r="E393" s="28"/>
      <c r="F393" s="28"/>
      <c r="G393" s="32" t="str">
        <f aca="false">IF(E393="","",IFERROR(INDEX(Товары!$D$4:$D$200,MATCH(E393,Товары!$B$4:$B$200,0)),0))</f>
        <v/>
      </c>
      <c r="H393" s="29"/>
      <c r="I393" s="32" t="str">
        <f aca="false">IF(OR(E393="",F393=""),"",F393*G393-N(H393))</f>
        <v/>
      </c>
      <c r="J393" s="29"/>
      <c r="K393" s="32" t="str">
        <f aca="false">IF(AND(I393="",N(J393)=0),"",N(I393)+N(J393))</f>
        <v/>
      </c>
      <c r="L393" s="32" t="str">
        <f aca="false">IF(OR(E393="",F393=""),"",F393*IFERROR(INDEX(Товары!$C$4:$C$200,MATCH(E393,Товары!$B$4:$B$200,0)),0))</f>
        <v/>
      </c>
      <c r="M393" s="32" t="str">
        <f aca="false">IF(I393="","",I393-L393)</f>
        <v/>
      </c>
      <c r="N393" s="28"/>
      <c r="O393" s="28"/>
      <c r="P393" s="28"/>
      <c r="Q393" s="28"/>
      <c r="R393" s="35"/>
      <c r="S393" s="28"/>
    </row>
    <row r="394" customFormat="false" ht="15" hidden="false" customHeight="false" outlineLevel="0" collapsed="false">
      <c r="A394" s="34" t="str">
        <f aca="false">IF(E394="","",ROW()-3)</f>
        <v/>
      </c>
      <c r="B394" s="35"/>
      <c r="C394" s="28"/>
      <c r="D394" s="28"/>
      <c r="E394" s="28"/>
      <c r="F394" s="28"/>
      <c r="G394" s="32" t="str">
        <f aca="false">IF(E394="","",IFERROR(INDEX(Товары!$D$4:$D$200,MATCH(E394,Товары!$B$4:$B$200,0)),0))</f>
        <v/>
      </c>
      <c r="H394" s="29"/>
      <c r="I394" s="32" t="str">
        <f aca="false">IF(OR(E394="",F394=""),"",F394*G394-N(H394))</f>
        <v/>
      </c>
      <c r="J394" s="29"/>
      <c r="K394" s="32" t="str">
        <f aca="false">IF(AND(I394="",N(J394)=0),"",N(I394)+N(J394))</f>
        <v/>
      </c>
      <c r="L394" s="32" t="str">
        <f aca="false">IF(OR(E394="",F394=""),"",F394*IFERROR(INDEX(Товары!$C$4:$C$200,MATCH(E394,Товары!$B$4:$B$200,0)),0))</f>
        <v/>
      </c>
      <c r="M394" s="32" t="str">
        <f aca="false">IF(I394="","",I394-L394)</f>
        <v/>
      </c>
      <c r="N394" s="28"/>
      <c r="O394" s="28"/>
      <c r="P394" s="28"/>
      <c r="Q394" s="28"/>
      <c r="R394" s="35"/>
      <c r="S394" s="28"/>
    </row>
    <row r="395" customFormat="false" ht="15" hidden="false" customHeight="false" outlineLevel="0" collapsed="false">
      <c r="A395" s="34" t="str">
        <f aca="false">IF(E395="","",ROW()-3)</f>
        <v/>
      </c>
      <c r="B395" s="35"/>
      <c r="C395" s="28"/>
      <c r="D395" s="28"/>
      <c r="E395" s="28"/>
      <c r="F395" s="28"/>
      <c r="G395" s="32" t="str">
        <f aca="false">IF(E395="","",IFERROR(INDEX(Товары!$D$4:$D$200,MATCH(E395,Товары!$B$4:$B$200,0)),0))</f>
        <v/>
      </c>
      <c r="H395" s="29"/>
      <c r="I395" s="32" t="str">
        <f aca="false">IF(OR(E395="",F395=""),"",F395*G395-N(H395))</f>
        <v/>
      </c>
      <c r="J395" s="29"/>
      <c r="K395" s="32" t="str">
        <f aca="false">IF(AND(I395="",N(J395)=0),"",N(I395)+N(J395))</f>
        <v/>
      </c>
      <c r="L395" s="32" t="str">
        <f aca="false">IF(OR(E395="",F395=""),"",F395*IFERROR(INDEX(Товары!$C$4:$C$200,MATCH(E395,Товары!$B$4:$B$200,0)),0))</f>
        <v/>
      </c>
      <c r="M395" s="32" t="str">
        <f aca="false">IF(I395="","",I395-L395)</f>
        <v/>
      </c>
      <c r="N395" s="28"/>
      <c r="O395" s="28"/>
      <c r="P395" s="28"/>
      <c r="Q395" s="28"/>
      <c r="R395" s="35"/>
      <c r="S395" s="28"/>
    </row>
    <row r="396" customFormat="false" ht="15" hidden="false" customHeight="false" outlineLevel="0" collapsed="false">
      <c r="A396" s="34" t="str">
        <f aca="false">IF(E396="","",ROW()-3)</f>
        <v/>
      </c>
      <c r="B396" s="35"/>
      <c r="C396" s="28"/>
      <c r="D396" s="28"/>
      <c r="E396" s="28"/>
      <c r="F396" s="28"/>
      <c r="G396" s="32" t="str">
        <f aca="false">IF(E396="","",IFERROR(INDEX(Товары!$D$4:$D$200,MATCH(E396,Товары!$B$4:$B$200,0)),0))</f>
        <v/>
      </c>
      <c r="H396" s="29"/>
      <c r="I396" s="32" t="str">
        <f aca="false">IF(OR(E396="",F396=""),"",F396*G396-N(H396))</f>
        <v/>
      </c>
      <c r="J396" s="29"/>
      <c r="K396" s="32" t="str">
        <f aca="false">IF(AND(I396="",N(J396)=0),"",N(I396)+N(J396))</f>
        <v/>
      </c>
      <c r="L396" s="32" t="str">
        <f aca="false">IF(OR(E396="",F396=""),"",F396*IFERROR(INDEX(Товары!$C$4:$C$200,MATCH(E396,Товары!$B$4:$B$200,0)),0))</f>
        <v/>
      </c>
      <c r="M396" s="32" t="str">
        <f aca="false">IF(I396="","",I396-L396)</f>
        <v/>
      </c>
      <c r="N396" s="28"/>
      <c r="O396" s="28"/>
      <c r="P396" s="28"/>
      <c r="Q396" s="28"/>
      <c r="R396" s="35"/>
      <c r="S396" s="28"/>
    </row>
    <row r="397" customFormat="false" ht="15" hidden="false" customHeight="false" outlineLevel="0" collapsed="false">
      <c r="A397" s="34" t="str">
        <f aca="false">IF(E397="","",ROW()-3)</f>
        <v/>
      </c>
      <c r="B397" s="35"/>
      <c r="C397" s="28"/>
      <c r="D397" s="28"/>
      <c r="E397" s="28"/>
      <c r="F397" s="28"/>
      <c r="G397" s="32" t="str">
        <f aca="false">IF(E397="","",IFERROR(INDEX(Товары!$D$4:$D$200,MATCH(E397,Товары!$B$4:$B$200,0)),0))</f>
        <v/>
      </c>
      <c r="H397" s="29"/>
      <c r="I397" s="32" t="str">
        <f aca="false">IF(OR(E397="",F397=""),"",F397*G397-N(H397))</f>
        <v/>
      </c>
      <c r="J397" s="29"/>
      <c r="K397" s="32" t="str">
        <f aca="false">IF(AND(I397="",N(J397)=0),"",N(I397)+N(J397))</f>
        <v/>
      </c>
      <c r="L397" s="32" t="str">
        <f aca="false">IF(OR(E397="",F397=""),"",F397*IFERROR(INDEX(Товары!$C$4:$C$200,MATCH(E397,Товары!$B$4:$B$200,0)),0))</f>
        <v/>
      </c>
      <c r="M397" s="32" t="str">
        <f aca="false">IF(I397="","",I397-L397)</f>
        <v/>
      </c>
      <c r="N397" s="28"/>
      <c r="O397" s="28"/>
      <c r="P397" s="28"/>
      <c r="Q397" s="28"/>
      <c r="R397" s="35"/>
      <c r="S397" s="28"/>
    </row>
    <row r="398" customFormat="false" ht="15" hidden="false" customHeight="false" outlineLevel="0" collapsed="false">
      <c r="A398" s="34" t="str">
        <f aca="false">IF(E398="","",ROW()-3)</f>
        <v/>
      </c>
      <c r="B398" s="35"/>
      <c r="C398" s="28"/>
      <c r="D398" s="28"/>
      <c r="E398" s="28"/>
      <c r="F398" s="28"/>
      <c r="G398" s="32" t="str">
        <f aca="false">IF(E398="","",IFERROR(INDEX(Товары!$D$4:$D$200,MATCH(E398,Товары!$B$4:$B$200,0)),0))</f>
        <v/>
      </c>
      <c r="H398" s="29"/>
      <c r="I398" s="32" t="str">
        <f aca="false">IF(OR(E398="",F398=""),"",F398*G398-N(H398))</f>
        <v/>
      </c>
      <c r="J398" s="29"/>
      <c r="K398" s="32" t="str">
        <f aca="false">IF(AND(I398="",N(J398)=0),"",N(I398)+N(J398))</f>
        <v/>
      </c>
      <c r="L398" s="32" t="str">
        <f aca="false">IF(OR(E398="",F398=""),"",F398*IFERROR(INDEX(Товары!$C$4:$C$200,MATCH(E398,Товары!$B$4:$B$200,0)),0))</f>
        <v/>
      </c>
      <c r="M398" s="32" t="str">
        <f aca="false">IF(I398="","",I398-L398)</f>
        <v/>
      </c>
      <c r="N398" s="28"/>
      <c r="O398" s="28"/>
      <c r="P398" s="28"/>
      <c r="Q398" s="28"/>
      <c r="R398" s="35"/>
      <c r="S398" s="28"/>
    </row>
    <row r="399" customFormat="false" ht="15" hidden="false" customHeight="false" outlineLevel="0" collapsed="false">
      <c r="A399" s="34" t="str">
        <f aca="false">IF(E399="","",ROW()-3)</f>
        <v/>
      </c>
      <c r="B399" s="35"/>
      <c r="C399" s="28"/>
      <c r="D399" s="28"/>
      <c r="E399" s="28"/>
      <c r="F399" s="28"/>
      <c r="G399" s="32" t="str">
        <f aca="false">IF(E399="","",IFERROR(INDEX(Товары!$D$4:$D$200,MATCH(E399,Товары!$B$4:$B$200,0)),0))</f>
        <v/>
      </c>
      <c r="H399" s="29"/>
      <c r="I399" s="32" t="str">
        <f aca="false">IF(OR(E399="",F399=""),"",F399*G399-N(H399))</f>
        <v/>
      </c>
      <c r="J399" s="29"/>
      <c r="K399" s="32" t="str">
        <f aca="false">IF(AND(I399="",N(J399)=0),"",N(I399)+N(J399))</f>
        <v/>
      </c>
      <c r="L399" s="32" t="str">
        <f aca="false">IF(OR(E399="",F399=""),"",F399*IFERROR(INDEX(Товары!$C$4:$C$200,MATCH(E399,Товары!$B$4:$B$200,0)),0))</f>
        <v/>
      </c>
      <c r="M399" s="32" t="str">
        <f aca="false">IF(I399="","",I399-L399)</f>
        <v/>
      </c>
      <c r="N399" s="28"/>
      <c r="O399" s="28"/>
      <c r="P399" s="28"/>
      <c r="Q399" s="28"/>
      <c r="R399" s="35"/>
      <c r="S399" s="28"/>
    </row>
    <row r="400" customFormat="false" ht="15" hidden="false" customHeight="false" outlineLevel="0" collapsed="false">
      <c r="A400" s="34" t="str">
        <f aca="false">IF(E400="","",ROW()-3)</f>
        <v/>
      </c>
      <c r="B400" s="35"/>
      <c r="C400" s="28"/>
      <c r="D400" s="28"/>
      <c r="E400" s="28"/>
      <c r="F400" s="28"/>
      <c r="G400" s="32" t="str">
        <f aca="false">IF(E400="","",IFERROR(INDEX(Товары!$D$4:$D$200,MATCH(E400,Товары!$B$4:$B$200,0)),0))</f>
        <v/>
      </c>
      <c r="H400" s="29"/>
      <c r="I400" s="32" t="str">
        <f aca="false">IF(OR(E400="",F400=""),"",F400*G400-N(H400))</f>
        <v/>
      </c>
      <c r="J400" s="29"/>
      <c r="K400" s="32" t="str">
        <f aca="false">IF(AND(I400="",N(J400)=0),"",N(I400)+N(J400))</f>
        <v/>
      </c>
      <c r="L400" s="32" t="str">
        <f aca="false">IF(OR(E400="",F400=""),"",F400*IFERROR(INDEX(Товары!$C$4:$C$200,MATCH(E400,Товары!$B$4:$B$200,0)),0))</f>
        <v/>
      </c>
      <c r="M400" s="32" t="str">
        <f aca="false">IF(I400="","",I400-L400)</f>
        <v/>
      </c>
      <c r="N400" s="28"/>
      <c r="O400" s="28"/>
      <c r="P400" s="28"/>
      <c r="Q400" s="28"/>
      <c r="R400" s="35"/>
      <c r="S400" s="28"/>
    </row>
    <row r="401" customFormat="false" ht="15" hidden="false" customHeight="false" outlineLevel="0" collapsed="false">
      <c r="A401" s="34" t="str">
        <f aca="false">IF(E401="","",ROW()-3)</f>
        <v/>
      </c>
      <c r="B401" s="35"/>
      <c r="C401" s="28"/>
      <c r="D401" s="28"/>
      <c r="E401" s="28"/>
      <c r="F401" s="28"/>
      <c r="G401" s="32" t="str">
        <f aca="false">IF(E401="","",IFERROR(INDEX(Товары!$D$4:$D$200,MATCH(E401,Товары!$B$4:$B$200,0)),0))</f>
        <v/>
      </c>
      <c r="H401" s="29"/>
      <c r="I401" s="32" t="str">
        <f aca="false">IF(OR(E401="",F401=""),"",F401*G401-N(H401))</f>
        <v/>
      </c>
      <c r="J401" s="29"/>
      <c r="K401" s="32" t="str">
        <f aca="false">IF(AND(I401="",N(J401)=0),"",N(I401)+N(J401))</f>
        <v/>
      </c>
      <c r="L401" s="32" t="str">
        <f aca="false">IF(OR(E401="",F401=""),"",F401*IFERROR(INDEX(Товары!$C$4:$C$200,MATCH(E401,Товары!$B$4:$B$200,0)),0))</f>
        <v/>
      </c>
      <c r="M401" s="32" t="str">
        <f aca="false">IF(I401="","",I401-L401)</f>
        <v/>
      </c>
      <c r="N401" s="28"/>
      <c r="O401" s="28"/>
      <c r="P401" s="28"/>
      <c r="Q401" s="28"/>
      <c r="R401" s="35"/>
      <c r="S401" s="28"/>
    </row>
    <row r="402" customFormat="false" ht="15" hidden="false" customHeight="false" outlineLevel="0" collapsed="false">
      <c r="A402" s="34" t="str">
        <f aca="false">IF(E402="","",ROW()-3)</f>
        <v/>
      </c>
      <c r="B402" s="35"/>
      <c r="C402" s="28"/>
      <c r="D402" s="28"/>
      <c r="E402" s="28"/>
      <c r="F402" s="28"/>
      <c r="G402" s="32" t="str">
        <f aca="false">IF(E402="","",IFERROR(INDEX(Товары!$D$4:$D$200,MATCH(E402,Товары!$B$4:$B$200,0)),0))</f>
        <v/>
      </c>
      <c r="H402" s="29"/>
      <c r="I402" s="32" t="str">
        <f aca="false">IF(OR(E402="",F402=""),"",F402*G402-N(H402))</f>
        <v/>
      </c>
      <c r="J402" s="29"/>
      <c r="K402" s="32" t="str">
        <f aca="false">IF(AND(I402="",N(J402)=0),"",N(I402)+N(J402))</f>
        <v/>
      </c>
      <c r="L402" s="32" t="str">
        <f aca="false">IF(OR(E402="",F402=""),"",F402*IFERROR(INDEX(Товары!$C$4:$C$200,MATCH(E402,Товары!$B$4:$B$200,0)),0))</f>
        <v/>
      </c>
      <c r="M402" s="32" t="str">
        <f aca="false">IF(I402="","",I402-L402)</f>
        <v/>
      </c>
      <c r="N402" s="28"/>
      <c r="O402" s="28"/>
      <c r="P402" s="28"/>
      <c r="Q402" s="28"/>
      <c r="R402" s="35"/>
      <c r="S402" s="28"/>
    </row>
    <row r="403" customFormat="false" ht="15" hidden="false" customHeight="false" outlineLevel="0" collapsed="false">
      <c r="A403" s="34" t="str">
        <f aca="false">IF(E403="","",ROW()-3)</f>
        <v/>
      </c>
      <c r="B403" s="35"/>
      <c r="C403" s="28"/>
      <c r="D403" s="28"/>
      <c r="E403" s="28"/>
      <c r="F403" s="28"/>
      <c r="G403" s="32" t="str">
        <f aca="false">IF(E403="","",IFERROR(INDEX(Товары!$D$4:$D$200,MATCH(E403,Товары!$B$4:$B$200,0)),0))</f>
        <v/>
      </c>
      <c r="H403" s="29"/>
      <c r="I403" s="32" t="str">
        <f aca="false">IF(OR(E403="",F403=""),"",F403*G403-N(H403))</f>
        <v/>
      </c>
      <c r="J403" s="29"/>
      <c r="K403" s="32" t="str">
        <f aca="false">IF(AND(I403="",N(J403)=0),"",N(I403)+N(J403))</f>
        <v/>
      </c>
      <c r="L403" s="32" t="str">
        <f aca="false">IF(OR(E403="",F403=""),"",F403*IFERROR(INDEX(Товары!$C$4:$C$200,MATCH(E403,Товары!$B$4:$B$200,0)),0))</f>
        <v/>
      </c>
      <c r="M403" s="32" t="str">
        <f aca="false">IF(I403="","",I403-L403)</f>
        <v/>
      </c>
      <c r="N403" s="28"/>
      <c r="O403" s="28"/>
      <c r="P403" s="28"/>
      <c r="Q403" s="28"/>
      <c r="R403" s="35"/>
      <c r="S403" s="28"/>
    </row>
    <row r="404" customFormat="false" ht="15" hidden="false" customHeight="false" outlineLevel="0" collapsed="false">
      <c r="A404" s="34" t="str">
        <f aca="false">IF(E404="","",ROW()-3)</f>
        <v/>
      </c>
      <c r="B404" s="35"/>
      <c r="C404" s="28"/>
      <c r="D404" s="28"/>
      <c r="E404" s="28"/>
      <c r="F404" s="28"/>
      <c r="G404" s="32" t="str">
        <f aca="false">IF(E404="","",IFERROR(INDEX(Товары!$D$4:$D$200,MATCH(E404,Товары!$B$4:$B$200,0)),0))</f>
        <v/>
      </c>
      <c r="H404" s="29"/>
      <c r="I404" s="32" t="str">
        <f aca="false">IF(OR(E404="",F404=""),"",F404*G404-N(H404))</f>
        <v/>
      </c>
      <c r="J404" s="29"/>
      <c r="K404" s="32" t="str">
        <f aca="false">IF(AND(I404="",N(J404)=0),"",N(I404)+N(J404))</f>
        <v/>
      </c>
      <c r="L404" s="32" t="str">
        <f aca="false">IF(OR(E404="",F404=""),"",F404*IFERROR(INDEX(Товары!$C$4:$C$200,MATCH(E404,Товары!$B$4:$B$200,0)),0))</f>
        <v/>
      </c>
      <c r="M404" s="32" t="str">
        <f aca="false">IF(I404="","",I404-L404)</f>
        <v/>
      </c>
      <c r="N404" s="28"/>
      <c r="O404" s="28"/>
      <c r="P404" s="28"/>
      <c r="Q404" s="28"/>
      <c r="R404" s="35"/>
      <c r="S404" s="28"/>
    </row>
    <row r="405" customFormat="false" ht="15" hidden="false" customHeight="false" outlineLevel="0" collapsed="false">
      <c r="A405" s="34" t="str">
        <f aca="false">IF(E405="","",ROW()-3)</f>
        <v/>
      </c>
      <c r="B405" s="35"/>
      <c r="C405" s="28"/>
      <c r="D405" s="28"/>
      <c r="E405" s="28"/>
      <c r="F405" s="28"/>
      <c r="G405" s="32" t="str">
        <f aca="false">IF(E405="","",IFERROR(INDEX(Товары!$D$4:$D$200,MATCH(E405,Товары!$B$4:$B$200,0)),0))</f>
        <v/>
      </c>
      <c r="H405" s="29"/>
      <c r="I405" s="32" t="str">
        <f aca="false">IF(OR(E405="",F405=""),"",F405*G405-N(H405))</f>
        <v/>
      </c>
      <c r="J405" s="29"/>
      <c r="K405" s="32" t="str">
        <f aca="false">IF(AND(I405="",N(J405)=0),"",N(I405)+N(J405))</f>
        <v/>
      </c>
      <c r="L405" s="32" t="str">
        <f aca="false">IF(OR(E405="",F405=""),"",F405*IFERROR(INDEX(Товары!$C$4:$C$200,MATCH(E405,Товары!$B$4:$B$200,0)),0))</f>
        <v/>
      </c>
      <c r="M405" s="32" t="str">
        <f aca="false">IF(I405="","",I405-L405)</f>
        <v/>
      </c>
      <c r="N405" s="28"/>
      <c r="O405" s="28"/>
      <c r="P405" s="28"/>
      <c r="Q405" s="28"/>
      <c r="R405" s="35"/>
      <c r="S405" s="28"/>
    </row>
    <row r="406" customFormat="false" ht="15" hidden="false" customHeight="false" outlineLevel="0" collapsed="false">
      <c r="A406" s="34" t="str">
        <f aca="false">IF(E406="","",ROW()-3)</f>
        <v/>
      </c>
      <c r="B406" s="35"/>
      <c r="C406" s="28"/>
      <c r="D406" s="28"/>
      <c r="E406" s="28"/>
      <c r="F406" s="28"/>
      <c r="G406" s="32" t="str">
        <f aca="false">IF(E406="","",IFERROR(INDEX(Товары!$D$4:$D$200,MATCH(E406,Товары!$B$4:$B$200,0)),0))</f>
        <v/>
      </c>
      <c r="H406" s="29"/>
      <c r="I406" s="32" t="str">
        <f aca="false">IF(OR(E406="",F406=""),"",F406*G406-N(H406))</f>
        <v/>
      </c>
      <c r="J406" s="29"/>
      <c r="K406" s="32" t="str">
        <f aca="false">IF(AND(I406="",N(J406)=0),"",N(I406)+N(J406))</f>
        <v/>
      </c>
      <c r="L406" s="32" t="str">
        <f aca="false">IF(OR(E406="",F406=""),"",F406*IFERROR(INDEX(Товары!$C$4:$C$200,MATCH(E406,Товары!$B$4:$B$200,0)),0))</f>
        <v/>
      </c>
      <c r="M406" s="32" t="str">
        <f aca="false">IF(I406="","",I406-L406)</f>
        <v/>
      </c>
      <c r="N406" s="28"/>
      <c r="O406" s="28"/>
      <c r="P406" s="28"/>
      <c r="Q406" s="28"/>
      <c r="R406" s="35"/>
      <c r="S406" s="28"/>
    </row>
    <row r="407" customFormat="false" ht="15" hidden="false" customHeight="false" outlineLevel="0" collapsed="false">
      <c r="A407" s="34" t="str">
        <f aca="false">IF(E407="","",ROW()-3)</f>
        <v/>
      </c>
      <c r="B407" s="35"/>
      <c r="C407" s="28"/>
      <c r="D407" s="28"/>
      <c r="E407" s="28"/>
      <c r="F407" s="28"/>
      <c r="G407" s="32" t="str">
        <f aca="false">IF(E407="","",IFERROR(INDEX(Товары!$D$4:$D$200,MATCH(E407,Товары!$B$4:$B$200,0)),0))</f>
        <v/>
      </c>
      <c r="H407" s="29"/>
      <c r="I407" s="32" t="str">
        <f aca="false">IF(OR(E407="",F407=""),"",F407*G407-N(H407))</f>
        <v/>
      </c>
      <c r="J407" s="29"/>
      <c r="K407" s="32" t="str">
        <f aca="false">IF(AND(I407="",N(J407)=0),"",N(I407)+N(J407))</f>
        <v/>
      </c>
      <c r="L407" s="32" t="str">
        <f aca="false">IF(OR(E407="",F407=""),"",F407*IFERROR(INDEX(Товары!$C$4:$C$200,MATCH(E407,Товары!$B$4:$B$200,0)),0))</f>
        <v/>
      </c>
      <c r="M407" s="32" t="str">
        <f aca="false">IF(I407="","",I407-L407)</f>
        <v/>
      </c>
      <c r="N407" s="28"/>
      <c r="O407" s="28"/>
      <c r="P407" s="28"/>
      <c r="Q407" s="28"/>
      <c r="R407" s="35"/>
      <c r="S407" s="28"/>
    </row>
    <row r="408" customFormat="false" ht="15" hidden="false" customHeight="false" outlineLevel="0" collapsed="false">
      <c r="A408" s="34" t="str">
        <f aca="false">IF(E408="","",ROW()-3)</f>
        <v/>
      </c>
      <c r="B408" s="35"/>
      <c r="C408" s="28"/>
      <c r="D408" s="28"/>
      <c r="E408" s="28"/>
      <c r="F408" s="28"/>
      <c r="G408" s="32" t="str">
        <f aca="false">IF(E408="","",IFERROR(INDEX(Товары!$D$4:$D$200,MATCH(E408,Товары!$B$4:$B$200,0)),0))</f>
        <v/>
      </c>
      <c r="H408" s="29"/>
      <c r="I408" s="32" t="str">
        <f aca="false">IF(OR(E408="",F408=""),"",F408*G408-N(H408))</f>
        <v/>
      </c>
      <c r="J408" s="29"/>
      <c r="K408" s="32" t="str">
        <f aca="false">IF(AND(I408="",N(J408)=0),"",N(I408)+N(J408))</f>
        <v/>
      </c>
      <c r="L408" s="32" t="str">
        <f aca="false">IF(OR(E408="",F408=""),"",F408*IFERROR(INDEX(Товары!$C$4:$C$200,MATCH(E408,Товары!$B$4:$B$200,0)),0))</f>
        <v/>
      </c>
      <c r="M408" s="32" t="str">
        <f aca="false">IF(I408="","",I408-L408)</f>
        <v/>
      </c>
      <c r="N408" s="28"/>
      <c r="O408" s="28"/>
      <c r="P408" s="28"/>
      <c r="Q408" s="28"/>
      <c r="R408" s="35"/>
      <c r="S408" s="28"/>
    </row>
    <row r="409" customFormat="false" ht="15" hidden="false" customHeight="false" outlineLevel="0" collapsed="false">
      <c r="A409" s="34" t="str">
        <f aca="false">IF(E409="","",ROW()-3)</f>
        <v/>
      </c>
      <c r="B409" s="35"/>
      <c r="C409" s="28"/>
      <c r="D409" s="28"/>
      <c r="E409" s="28"/>
      <c r="F409" s="28"/>
      <c r="G409" s="32" t="str">
        <f aca="false">IF(E409="","",IFERROR(INDEX(Товары!$D$4:$D$200,MATCH(E409,Товары!$B$4:$B$200,0)),0))</f>
        <v/>
      </c>
      <c r="H409" s="29"/>
      <c r="I409" s="32" t="str">
        <f aca="false">IF(OR(E409="",F409=""),"",F409*G409-N(H409))</f>
        <v/>
      </c>
      <c r="J409" s="29"/>
      <c r="K409" s="32" t="str">
        <f aca="false">IF(AND(I409="",N(J409)=0),"",N(I409)+N(J409))</f>
        <v/>
      </c>
      <c r="L409" s="32" t="str">
        <f aca="false">IF(OR(E409="",F409=""),"",F409*IFERROR(INDEX(Товары!$C$4:$C$200,MATCH(E409,Товары!$B$4:$B$200,0)),0))</f>
        <v/>
      </c>
      <c r="M409" s="32" t="str">
        <f aca="false">IF(I409="","",I409-L409)</f>
        <v/>
      </c>
      <c r="N409" s="28"/>
      <c r="O409" s="28"/>
      <c r="P409" s="28"/>
      <c r="Q409" s="28"/>
      <c r="R409" s="35"/>
      <c r="S409" s="28"/>
    </row>
    <row r="410" customFormat="false" ht="15" hidden="false" customHeight="false" outlineLevel="0" collapsed="false">
      <c r="A410" s="34" t="str">
        <f aca="false">IF(E410="","",ROW()-3)</f>
        <v/>
      </c>
      <c r="B410" s="35"/>
      <c r="C410" s="28"/>
      <c r="D410" s="28"/>
      <c r="E410" s="28"/>
      <c r="F410" s="28"/>
      <c r="G410" s="32" t="str">
        <f aca="false">IF(E410="","",IFERROR(INDEX(Товары!$D$4:$D$200,MATCH(E410,Товары!$B$4:$B$200,0)),0))</f>
        <v/>
      </c>
      <c r="H410" s="29"/>
      <c r="I410" s="32" t="str">
        <f aca="false">IF(OR(E410="",F410=""),"",F410*G410-N(H410))</f>
        <v/>
      </c>
      <c r="J410" s="29"/>
      <c r="K410" s="32" t="str">
        <f aca="false">IF(AND(I410="",N(J410)=0),"",N(I410)+N(J410))</f>
        <v/>
      </c>
      <c r="L410" s="32" t="str">
        <f aca="false">IF(OR(E410="",F410=""),"",F410*IFERROR(INDEX(Товары!$C$4:$C$200,MATCH(E410,Товары!$B$4:$B$200,0)),0))</f>
        <v/>
      </c>
      <c r="M410" s="32" t="str">
        <f aca="false">IF(I410="","",I410-L410)</f>
        <v/>
      </c>
      <c r="N410" s="28"/>
      <c r="O410" s="28"/>
      <c r="P410" s="28"/>
      <c r="Q410" s="28"/>
      <c r="R410" s="35"/>
      <c r="S410" s="28"/>
    </row>
    <row r="411" customFormat="false" ht="15" hidden="false" customHeight="false" outlineLevel="0" collapsed="false">
      <c r="A411" s="34" t="str">
        <f aca="false">IF(E411="","",ROW()-3)</f>
        <v/>
      </c>
      <c r="B411" s="35"/>
      <c r="C411" s="28"/>
      <c r="D411" s="28"/>
      <c r="E411" s="28"/>
      <c r="F411" s="28"/>
      <c r="G411" s="32" t="str">
        <f aca="false">IF(E411="","",IFERROR(INDEX(Товары!$D$4:$D$200,MATCH(E411,Товары!$B$4:$B$200,0)),0))</f>
        <v/>
      </c>
      <c r="H411" s="29"/>
      <c r="I411" s="32" t="str">
        <f aca="false">IF(OR(E411="",F411=""),"",F411*G411-N(H411))</f>
        <v/>
      </c>
      <c r="J411" s="29"/>
      <c r="K411" s="32" t="str">
        <f aca="false">IF(AND(I411="",N(J411)=0),"",N(I411)+N(J411))</f>
        <v/>
      </c>
      <c r="L411" s="32" t="str">
        <f aca="false">IF(OR(E411="",F411=""),"",F411*IFERROR(INDEX(Товары!$C$4:$C$200,MATCH(E411,Товары!$B$4:$B$200,0)),0))</f>
        <v/>
      </c>
      <c r="M411" s="32" t="str">
        <f aca="false">IF(I411="","",I411-L411)</f>
        <v/>
      </c>
      <c r="N411" s="28"/>
      <c r="O411" s="28"/>
      <c r="P411" s="28"/>
      <c r="Q411" s="28"/>
      <c r="R411" s="35"/>
      <c r="S411" s="28"/>
    </row>
    <row r="412" customFormat="false" ht="15" hidden="false" customHeight="false" outlineLevel="0" collapsed="false">
      <c r="A412" s="34" t="str">
        <f aca="false">IF(E412="","",ROW()-3)</f>
        <v/>
      </c>
      <c r="B412" s="35"/>
      <c r="C412" s="28"/>
      <c r="D412" s="28"/>
      <c r="E412" s="28"/>
      <c r="F412" s="28"/>
      <c r="G412" s="32" t="str">
        <f aca="false">IF(E412="","",IFERROR(INDEX(Товары!$D$4:$D$200,MATCH(E412,Товары!$B$4:$B$200,0)),0))</f>
        <v/>
      </c>
      <c r="H412" s="29"/>
      <c r="I412" s="32" t="str">
        <f aca="false">IF(OR(E412="",F412=""),"",F412*G412-N(H412))</f>
        <v/>
      </c>
      <c r="J412" s="29"/>
      <c r="K412" s="32" t="str">
        <f aca="false">IF(AND(I412="",N(J412)=0),"",N(I412)+N(J412))</f>
        <v/>
      </c>
      <c r="L412" s="32" t="str">
        <f aca="false">IF(OR(E412="",F412=""),"",F412*IFERROR(INDEX(Товары!$C$4:$C$200,MATCH(E412,Товары!$B$4:$B$200,0)),0))</f>
        <v/>
      </c>
      <c r="M412" s="32" t="str">
        <f aca="false">IF(I412="","",I412-L412)</f>
        <v/>
      </c>
      <c r="N412" s="28"/>
      <c r="O412" s="28"/>
      <c r="P412" s="28"/>
      <c r="Q412" s="28"/>
      <c r="R412" s="35"/>
      <c r="S412" s="28"/>
    </row>
    <row r="413" customFormat="false" ht="15" hidden="false" customHeight="false" outlineLevel="0" collapsed="false">
      <c r="A413" s="34" t="str">
        <f aca="false">IF(E413="","",ROW()-3)</f>
        <v/>
      </c>
      <c r="B413" s="35"/>
      <c r="C413" s="28"/>
      <c r="D413" s="28"/>
      <c r="E413" s="28"/>
      <c r="F413" s="28"/>
      <c r="G413" s="32" t="str">
        <f aca="false">IF(E413="","",IFERROR(INDEX(Товары!$D$4:$D$200,MATCH(E413,Товары!$B$4:$B$200,0)),0))</f>
        <v/>
      </c>
      <c r="H413" s="29"/>
      <c r="I413" s="32" t="str">
        <f aca="false">IF(OR(E413="",F413=""),"",F413*G413-N(H413))</f>
        <v/>
      </c>
      <c r="J413" s="29"/>
      <c r="K413" s="32" t="str">
        <f aca="false">IF(AND(I413="",N(J413)=0),"",N(I413)+N(J413))</f>
        <v/>
      </c>
      <c r="L413" s="32" t="str">
        <f aca="false">IF(OR(E413="",F413=""),"",F413*IFERROR(INDEX(Товары!$C$4:$C$200,MATCH(E413,Товары!$B$4:$B$200,0)),0))</f>
        <v/>
      </c>
      <c r="M413" s="32" t="str">
        <f aca="false">IF(I413="","",I413-L413)</f>
        <v/>
      </c>
      <c r="N413" s="28"/>
      <c r="O413" s="28"/>
      <c r="P413" s="28"/>
      <c r="Q413" s="28"/>
      <c r="R413" s="35"/>
      <c r="S413" s="28"/>
    </row>
    <row r="414" customFormat="false" ht="15" hidden="false" customHeight="false" outlineLevel="0" collapsed="false">
      <c r="A414" s="34" t="str">
        <f aca="false">IF(E414="","",ROW()-3)</f>
        <v/>
      </c>
      <c r="B414" s="35"/>
      <c r="C414" s="28"/>
      <c r="D414" s="28"/>
      <c r="E414" s="28"/>
      <c r="F414" s="28"/>
      <c r="G414" s="32" t="str">
        <f aca="false">IF(E414="","",IFERROR(INDEX(Товары!$D$4:$D$200,MATCH(E414,Товары!$B$4:$B$200,0)),0))</f>
        <v/>
      </c>
      <c r="H414" s="29"/>
      <c r="I414" s="32" t="str">
        <f aca="false">IF(OR(E414="",F414=""),"",F414*G414-N(H414))</f>
        <v/>
      </c>
      <c r="J414" s="29"/>
      <c r="K414" s="32" t="str">
        <f aca="false">IF(AND(I414="",N(J414)=0),"",N(I414)+N(J414))</f>
        <v/>
      </c>
      <c r="L414" s="32" t="str">
        <f aca="false">IF(OR(E414="",F414=""),"",F414*IFERROR(INDEX(Товары!$C$4:$C$200,MATCH(E414,Товары!$B$4:$B$200,0)),0))</f>
        <v/>
      </c>
      <c r="M414" s="32" t="str">
        <f aca="false">IF(I414="","",I414-L414)</f>
        <v/>
      </c>
      <c r="N414" s="28"/>
      <c r="O414" s="28"/>
      <c r="P414" s="28"/>
      <c r="Q414" s="28"/>
      <c r="R414" s="35"/>
      <c r="S414" s="28"/>
    </row>
    <row r="415" customFormat="false" ht="15" hidden="false" customHeight="false" outlineLevel="0" collapsed="false">
      <c r="A415" s="34" t="str">
        <f aca="false">IF(E415="","",ROW()-3)</f>
        <v/>
      </c>
      <c r="B415" s="35"/>
      <c r="C415" s="28"/>
      <c r="D415" s="28"/>
      <c r="E415" s="28"/>
      <c r="F415" s="28"/>
      <c r="G415" s="32" t="str">
        <f aca="false">IF(E415="","",IFERROR(INDEX(Товары!$D$4:$D$200,MATCH(E415,Товары!$B$4:$B$200,0)),0))</f>
        <v/>
      </c>
      <c r="H415" s="29"/>
      <c r="I415" s="32" t="str">
        <f aca="false">IF(OR(E415="",F415=""),"",F415*G415-N(H415))</f>
        <v/>
      </c>
      <c r="J415" s="29"/>
      <c r="K415" s="32" t="str">
        <f aca="false">IF(AND(I415="",N(J415)=0),"",N(I415)+N(J415))</f>
        <v/>
      </c>
      <c r="L415" s="32" t="str">
        <f aca="false">IF(OR(E415="",F415=""),"",F415*IFERROR(INDEX(Товары!$C$4:$C$200,MATCH(E415,Товары!$B$4:$B$200,0)),0))</f>
        <v/>
      </c>
      <c r="M415" s="32" t="str">
        <f aca="false">IF(I415="","",I415-L415)</f>
        <v/>
      </c>
      <c r="N415" s="28"/>
      <c r="O415" s="28"/>
      <c r="P415" s="28"/>
      <c r="Q415" s="28"/>
      <c r="R415" s="35"/>
      <c r="S415" s="28"/>
    </row>
    <row r="416" customFormat="false" ht="15" hidden="false" customHeight="false" outlineLevel="0" collapsed="false">
      <c r="A416" s="34" t="str">
        <f aca="false">IF(E416="","",ROW()-3)</f>
        <v/>
      </c>
      <c r="B416" s="35"/>
      <c r="C416" s="28"/>
      <c r="D416" s="28"/>
      <c r="E416" s="28"/>
      <c r="F416" s="28"/>
      <c r="G416" s="32" t="str">
        <f aca="false">IF(E416="","",IFERROR(INDEX(Товары!$D$4:$D$200,MATCH(E416,Товары!$B$4:$B$200,0)),0))</f>
        <v/>
      </c>
      <c r="H416" s="29"/>
      <c r="I416" s="32" t="str">
        <f aca="false">IF(OR(E416="",F416=""),"",F416*G416-N(H416))</f>
        <v/>
      </c>
      <c r="J416" s="29"/>
      <c r="K416" s="32" t="str">
        <f aca="false">IF(AND(I416="",N(J416)=0),"",N(I416)+N(J416))</f>
        <v/>
      </c>
      <c r="L416" s="32" t="str">
        <f aca="false">IF(OR(E416="",F416=""),"",F416*IFERROR(INDEX(Товары!$C$4:$C$200,MATCH(E416,Товары!$B$4:$B$200,0)),0))</f>
        <v/>
      </c>
      <c r="M416" s="32" t="str">
        <f aca="false">IF(I416="","",I416-L416)</f>
        <v/>
      </c>
      <c r="N416" s="28"/>
      <c r="O416" s="28"/>
      <c r="P416" s="28"/>
      <c r="Q416" s="28"/>
      <c r="R416" s="35"/>
      <c r="S416" s="28"/>
    </row>
    <row r="417" customFormat="false" ht="15" hidden="false" customHeight="false" outlineLevel="0" collapsed="false">
      <c r="A417" s="34" t="str">
        <f aca="false">IF(E417="","",ROW()-3)</f>
        <v/>
      </c>
      <c r="B417" s="35"/>
      <c r="C417" s="28"/>
      <c r="D417" s="28"/>
      <c r="E417" s="28"/>
      <c r="F417" s="28"/>
      <c r="G417" s="32" t="str">
        <f aca="false">IF(E417="","",IFERROR(INDEX(Товары!$D$4:$D$200,MATCH(E417,Товары!$B$4:$B$200,0)),0))</f>
        <v/>
      </c>
      <c r="H417" s="29"/>
      <c r="I417" s="32" t="str">
        <f aca="false">IF(OR(E417="",F417=""),"",F417*G417-N(H417))</f>
        <v/>
      </c>
      <c r="J417" s="29"/>
      <c r="K417" s="32" t="str">
        <f aca="false">IF(AND(I417="",N(J417)=0),"",N(I417)+N(J417))</f>
        <v/>
      </c>
      <c r="L417" s="32" t="str">
        <f aca="false">IF(OR(E417="",F417=""),"",F417*IFERROR(INDEX(Товары!$C$4:$C$200,MATCH(E417,Товары!$B$4:$B$200,0)),0))</f>
        <v/>
      </c>
      <c r="M417" s="32" t="str">
        <f aca="false">IF(I417="","",I417-L417)</f>
        <v/>
      </c>
      <c r="N417" s="28"/>
      <c r="O417" s="28"/>
      <c r="P417" s="28"/>
      <c r="Q417" s="28"/>
      <c r="R417" s="35"/>
      <c r="S417" s="28"/>
    </row>
    <row r="418" customFormat="false" ht="15" hidden="false" customHeight="false" outlineLevel="0" collapsed="false">
      <c r="A418" s="34" t="str">
        <f aca="false">IF(E418="","",ROW()-3)</f>
        <v/>
      </c>
      <c r="B418" s="35"/>
      <c r="C418" s="28"/>
      <c r="D418" s="28"/>
      <c r="E418" s="28"/>
      <c r="F418" s="28"/>
      <c r="G418" s="32" t="str">
        <f aca="false">IF(E418="","",IFERROR(INDEX(Товары!$D$4:$D$200,MATCH(E418,Товары!$B$4:$B$200,0)),0))</f>
        <v/>
      </c>
      <c r="H418" s="29"/>
      <c r="I418" s="32" t="str">
        <f aca="false">IF(OR(E418="",F418=""),"",F418*G418-N(H418))</f>
        <v/>
      </c>
      <c r="J418" s="29"/>
      <c r="K418" s="32" t="str">
        <f aca="false">IF(AND(I418="",N(J418)=0),"",N(I418)+N(J418))</f>
        <v/>
      </c>
      <c r="L418" s="32" t="str">
        <f aca="false">IF(OR(E418="",F418=""),"",F418*IFERROR(INDEX(Товары!$C$4:$C$200,MATCH(E418,Товары!$B$4:$B$200,0)),0))</f>
        <v/>
      </c>
      <c r="M418" s="32" t="str">
        <f aca="false">IF(I418="","",I418-L418)</f>
        <v/>
      </c>
      <c r="N418" s="28"/>
      <c r="O418" s="28"/>
      <c r="P418" s="28"/>
      <c r="Q418" s="28"/>
      <c r="R418" s="35"/>
      <c r="S418" s="28"/>
    </row>
    <row r="419" customFormat="false" ht="15" hidden="false" customHeight="false" outlineLevel="0" collapsed="false">
      <c r="A419" s="34" t="str">
        <f aca="false">IF(E419="","",ROW()-3)</f>
        <v/>
      </c>
      <c r="B419" s="35"/>
      <c r="C419" s="28"/>
      <c r="D419" s="28"/>
      <c r="E419" s="28"/>
      <c r="F419" s="28"/>
      <c r="G419" s="32" t="str">
        <f aca="false">IF(E419="","",IFERROR(INDEX(Товары!$D$4:$D$200,MATCH(E419,Товары!$B$4:$B$200,0)),0))</f>
        <v/>
      </c>
      <c r="H419" s="29"/>
      <c r="I419" s="32" t="str">
        <f aca="false">IF(OR(E419="",F419=""),"",F419*G419-N(H419))</f>
        <v/>
      </c>
      <c r="J419" s="29"/>
      <c r="K419" s="32" t="str">
        <f aca="false">IF(AND(I419="",N(J419)=0),"",N(I419)+N(J419))</f>
        <v/>
      </c>
      <c r="L419" s="32" t="str">
        <f aca="false">IF(OR(E419="",F419=""),"",F419*IFERROR(INDEX(Товары!$C$4:$C$200,MATCH(E419,Товары!$B$4:$B$200,0)),0))</f>
        <v/>
      </c>
      <c r="M419" s="32" t="str">
        <f aca="false">IF(I419="","",I419-L419)</f>
        <v/>
      </c>
      <c r="N419" s="28"/>
      <c r="O419" s="28"/>
      <c r="P419" s="28"/>
      <c r="Q419" s="28"/>
      <c r="R419" s="35"/>
      <c r="S419" s="28"/>
    </row>
    <row r="420" customFormat="false" ht="15" hidden="false" customHeight="false" outlineLevel="0" collapsed="false">
      <c r="A420" s="34" t="str">
        <f aca="false">IF(E420="","",ROW()-3)</f>
        <v/>
      </c>
      <c r="B420" s="35"/>
      <c r="C420" s="28"/>
      <c r="D420" s="28"/>
      <c r="E420" s="28"/>
      <c r="F420" s="28"/>
      <c r="G420" s="32" t="str">
        <f aca="false">IF(E420="","",IFERROR(INDEX(Товары!$D$4:$D$200,MATCH(E420,Товары!$B$4:$B$200,0)),0))</f>
        <v/>
      </c>
      <c r="H420" s="29"/>
      <c r="I420" s="32" t="str">
        <f aca="false">IF(OR(E420="",F420=""),"",F420*G420-N(H420))</f>
        <v/>
      </c>
      <c r="J420" s="29"/>
      <c r="K420" s="32" t="str">
        <f aca="false">IF(AND(I420="",N(J420)=0),"",N(I420)+N(J420))</f>
        <v/>
      </c>
      <c r="L420" s="32" t="str">
        <f aca="false">IF(OR(E420="",F420=""),"",F420*IFERROR(INDEX(Товары!$C$4:$C$200,MATCH(E420,Товары!$B$4:$B$200,0)),0))</f>
        <v/>
      </c>
      <c r="M420" s="32" t="str">
        <f aca="false">IF(I420="","",I420-L420)</f>
        <v/>
      </c>
      <c r="N420" s="28"/>
      <c r="O420" s="28"/>
      <c r="P420" s="28"/>
      <c r="Q420" s="28"/>
      <c r="R420" s="35"/>
      <c r="S420" s="28"/>
    </row>
    <row r="421" customFormat="false" ht="15" hidden="false" customHeight="false" outlineLevel="0" collapsed="false">
      <c r="A421" s="34" t="str">
        <f aca="false">IF(E421="","",ROW()-3)</f>
        <v/>
      </c>
      <c r="B421" s="35"/>
      <c r="C421" s="28"/>
      <c r="D421" s="28"/>
      <c r="E421" s="28"/>
      <c r="F421" s="28"/>
      <c r="G421" s="32" t="str">
        <f aca="false">IF(E421="","",IFERROR(INDEX(Товары!$D$4:$D$200,MATCH(E421,Товары!$B$4:$B$200,0)),0))</f>
        <v/>
      </c>
      <c r="H421" s="29"/>
      <c r="I421" s="32" t="str">
        <f aca="false">IF(OR(E421="",F421=""),"",F421*G421-N(H421))</f>
        <v/>
      </c>
      <c r="J421" s="29"/>
      <c r="K421" s="32" t="str">
        <f aca="false">IF(AND(I421="",N(J421)=0),"",N(I421)+N(J421))</f>
        <v/>
      </c>
      <c r="L421" s="32" t="str">
        <f aca="false">IF(OR(E421="",F421=""),"",F421*IFERROR(INDEX(Товары!$C$4:$C$200,MATCH(E421,Товары!$B$4:$B$200,0)),0))</f>
        <v/>
      </c>
      <c r="M421" s="32" t="str">
        <f aca="false">IF(I421="","",I421-L421)</f>
        <v/>
      </c>
      <c r="N421" s="28"/>
      <c r="O421" s="28"/>
      <c r="P421" s="28"/>
      <c r="Q421" s="28"/>
      <c r="R421" s="35"/>
      <c r="S421" s="28"/>
    </row>
    <row r="422" customFormat="false" ht="15" hidden="false" customHeight="false" outlineLevel="0" collapsed="false">
      <c r="A422" s="34" t="str">
        <f aca="false">IF(E422="","",ROW()-3)</f>
        <v/>
      </c>
      <c r="B422" s="35"/>
      <c r="C422" s="28"/>
      <c r="D422" s="28"/>
      <c r="E422" s="28"/>
      <c r="F422" s="28"/>
      <c r="G422" s="32" t="str">
        <f aca="false">IF(E422="","",IFERROR(INDEX(Товары!$D$4:$D$200,MATCH(E422,Товары!$B$4:$B$200,0)),0))</f>
        <v/>
      </c>
      <c r="H422" s="29"/>
      <c r="I422" s="32" t="str">
        <f aca="false">IF(OR(E422="",F422=""),"",F422*G422-N(H422))</f>
        <v/>
      </c>
      <c r="J422" s="29"/>
      <c r="K422" s="32" t="str">
        <f aca="false">IF(AND(I422="",N(J422)=0),"",N(I422)+N(J422))</f>
        <v/>
      </c>
      <c r="L422" s="32" t="str">
        <f aca="false">IF(OR(E422="",F422=""),"",F422*IFERROR(INDEX(Товары!$C$4:$C$200,MATCH(E422,Товары!$B$4:$B$200,0)),0))</f>
        <v/>
      </c>
      <c r="M422" s="32" t="str">
        <f aca="false">IF(I422="","",I422-L422)</f>
        <v/>
      </c>
      <c r="N422" s="28"/>
      <c r="O422" s="28"/>
      <c r="P422" s="28"/>
      <c r="Q422" s="28"/>
      <c r="R422" s="35"/>
      <c r="S422" s="28"/>
    </row>
    <row r="423" customFormat="false" ht="15" hidden="false" customHeight="false" outlineLevel="0" collapsed="false">
      <c r="A423" s="34" t="str">
        <f aca="false">IF(E423="","",ROW()-3)</f>
        <v/>
      </c>
      <c r="B423" s="35"/>
      <c r="C423" s="28"/>
      <c r="D423" s="28"/>
      <c r="E423" s="28"/>
      <c r="F423" s="28"/>
      <c r="G423" s="32" t="str">
        <f aca="false">IF(E423="","",IFERROR(INDEX(Товары!$D$4:$D$200,MATCH(E423,Товары!$B$4:$B$200,0)),0))</f>
        <v/>
      </c>
      <c r="H423" s="29"/>
      <c r="I423" s="32" t="str">
        <f aca="false">IF(OR(E423="",F423=""),"",F423*G423-N(H423))</f>
        <v/>
      </c>
      <c r="J423" s="29"/>
      <c r="K423" s="32" t="str">
        <f aca="false">IF(AND(I423="",N(J423)=0),"",N(I423)+N(J423))</f>
        <v/>
      </c>
      <c r="L423" s="32" t="str">
        <f aca="false">IF(OR(E423="",F423=""),"",F423*IFERROR(INDEX(Товары!$C$4:$C$200,MATCH(E423,Товары!$B$4:$B$200,0)),0))</f>
        <v/>
      </c>
      <c r="M423" s="32" t="str">
        <f aca="false">IF(I423="","",I423-L423)</f>
        <v/>
      </c>
      <c r="N423" s="28"/>
      <c r="O423" s="28"/>
      <c r="P423" s="28"/>
      <c r="Q423" s="28"/>
      <c r="R423" s="35"/>
      <c r="S423" s="28"/>
    </row>
    <row r="424" customFormat="false" ht="15" hidden="false" customHeight="false" outlineLevel="0" collapsed="false">
      <c r="A424" s="34" t="str">
        <f aca="false">IF(E424="","",ROW()-3)</f>
        <v/>
      </c>
      <c r="B424" s="35"/>
      <c r="C424" s="28"/>
      <c r="D424" s="28"/>
      <c r="E424" s="28"/>
      <c r="F424" s="28"/>
      <c r="G424" s="32" t="str">
        <f aca="false">IF(E424="","",IFERROR(INDEX(Товары!$D$4:$D$200,MATCH(E424,Товары!$B$4:$B$200,0)),0))</f>
        <v/>
      </c>
      <c r="H424" s="29"/>
      <c r="I424" s="32" t="str">
        <f aca="false">IF(OR(E424="",F424=""),"",F424*G424-N(H424))</f>
        <v/>
      </c>
      <c r="J424" s="29"/>
      <c r="K424" s="32" t="str">
        <f aca="false">IF(AND(I424="",N(J424)=0),"",N(I424)+N(J424))</f>
        <v/>
      </c>
      <c r="L424" s="32" t="str">
        <f aca="false">IF(OR(E424="",F424=""),"",F424*IFERROR(INDEX(Товары!$C$4:$C$200,MATCH(E424,Товары!$B$4:$B$200,0)),0))</f>
        <v/>
      </c>
      <c r="M424" s="32" t="str">
        <f aca="false">IF(I424="","",I424-L424)</f>
        <v/>
      </c>
      <c r="N424" s="28"/>
      <c r="O424" s="28"/>
      <c r="P424" s="28"/>
      <c r="Q424" s="28"/>
      <c r="R424" s="35"/>
      <c r="S424" s="28"/>
    </row>
    <row r="425" customFormat="false" ht="15" hidden="false" customHeight="false" outlineLevel="0" collapsed="false">
      <c r="A425" s="34" t="str">
        <f aca="false">IF(E425="","",ROW()-3)</f>
        <v/>
      </c>
      <c r="B425" s="35"/>
      <c r="C425" s="28"/>
      <c r="D425" s="28"/>
      <c r="E425" s="28"/>
      <c r="F425" s="28"/>
      <c r="G425" s="32" t="str">
        <f aca="false">IF(E425="","",IFERROR(INDEX(Товары!$D$4:$D$200,MATCH(E425,Товары!$B$4:$B$200,0)),0))</f>
        <v/>
      </c>
      <c r="H425" s="29"/>
      <c r="I425" s="32" t="str">
        <f aca="false">IF(OR(E425="",F425=""),"",F425*G425-N(H425))</f>
        <v/>
      </c>
      <c r="J425" s="29"/>
      <c r="K425" s="32" t="str">
        <f aca="false">IF(AND(I425="",N(J425)=0),"",N(I425)+N(J425))</f>
        <v/>
      </c>
      <c r="L425" s="32" t="str">
        <f aca="false">IF(OR(E425="",F425=""),"",F425*IFERROR(INDEX(Товары!$C$4:$C$200,MATCH(E425,Товары!$B$4:$B$200,0)),0))</f>
        <v/>
      </c>
      <c r="M425" s="32" t="str">
        <f aca="false">IF(I425="","",I425-L425)</f>
        <v/>
      </c>
      <c r="N425" s="28"/>
      <c r="O425" s="28"/>
      <c r="P425" s="28"/>
      <c r="Q425" s="28"/>
      <c r="R425" s="35"/>
      <c r="S425" s="28"/>
    </row>
    <row r="426" customFormat="false" ht="15" hidden="false" customHeight="false" outlineLevel="0" collapsed="false">
      <c r="A426" s="34" t="str">
        <f aca="false">IF(E426="","",ROW()-3)</f>
        <v/>
      </c>
      <c r="B426" s="35"/>
      <c r="C426" s="28"/>
      <c r="D426" s="28"/>
      <c r="E426" s="28"/>
      <c r="F426" s="28"/>
      <c r="G426" s="32" t="str">
        <f aca="false">IF(E426="","",IFERROR(INDEX(Товары!$D$4:$D$200,MATCH(E426,Товары!$B$4:$B$200,0)),0))</f>
        <v/>
      </c>
      <c r="H426" s="29"/>
      <c r="I426" s="32" t="str">
        <f aca="false">IF(OR(E426="",F426=""),"",F426*G426-N(H426))</f>
        <v/>
      </c>
      <c r="J426" s="29"/>
      <c r="K426" s="32" t="str">
        <f aca="false">IF(AND(I426="",N(J426)=0),"",N(I426)+N(J426))</f>
        <v/>
      </c>
      <c r="L426" s="32" t="str">
        <f aca="false">IF(OR(E426="",F426=""),"",F426*IFERROR(INDEX(Товары!$C$4:$C$200,MATCH(E426,Товары!$B$4:$B$200,0)),0))</f>
        <v/>
      </c>
      <c r="M426" s="32" t="str">
        <f aca="false">IF(I426="","",I426-L426)</f>
        <v/>
      </c>
      <c r="N426" s="28"/>
      <c r="O426" s="28"/>
      <c r="P426" s="28"/>
      <c r="Q426" s="28"/>
      <c r="R426" s="35"/>
      <c r="S426" s="28"/>
    </row>
    <row r="427" customFormat="false" ht="15" hidden="false" customHeight="false" outlineLevel="0" collapsed="false">
      <c r="A427" s="34" t="str">
        <f aca="false">IF(E427="","",ROW()-3)</f>
        <v/>
      </c>
      <c r="B427" s="35"/>
      <c r="C427" s="28"/>
      <c r="D427" s="28"/>
      <c r="E427" s="28"/>
      <c r="F427" s="28"/>
      <c r="G427" s="32" t="str">
        <f aca="false">IF(E427="","",IFERROR(INDEX(Товары!$D$4:$D$200,MATCH(E427,Товары!$B$4:$B$200,0)),0))</f>
        <v/>
      </c>
      <c r="H427" s="29"/>
      <c r="I427" s="32" t="str">
        <f aca="false">IF(OR(E427="",F427=""),"",F427*G427-N(H427))</f>
        <v/>
      </c>
      <c r="J427" s="29"/>
      <c r="K427" s="32" t="str">
        <f aca="false">IF(AND(I427="",N(J427)=0),"",N(I427)+N(J427))</f>
        <v/>
      </c>
      <c r="L427" s="32" t="str">
        <f aca="false">IF(OR(E427="",F427=""),"",F427*IFERROR(INDEX(Товары!$C$4:$C$200,MATCH(E427,Товары!$B$4:$B$200,0)),0))</f>
        <v/>
      </c>
      <c r="M427" s="32" t="str">
        <f aca="false">IF(I427="","",I427-L427)</f>
        <v/>
      </c>
      <c r="N427" s="28"/>
      <c r="O427" s="28"/>
      <c r="P427" s="28"/>
      <c r="Q427" s="28"/>
      <c r="R427" s="35"/>
      <c r="S427" s="28"/>
    </row>
    <row r="428" customFormat="false" ht="15" hidden="false" customHeight="false" outlineLevel="0" collapsed="false">
      <c r="A428" s="34" t="str">
        <f aca="false">IF(E428="","",ROW()-3)</f>
        <v/>
      </c>
      <c r="B428" s="35"/>
      <c r="C428" s="28"/>
      <c r="D428" s="28"/>
      <c r="E428" s="28"/>
      <c r="F428" s="28"/>
      <c r="G428" s="32" t="str">
        <f aca="false">IF(E428="","",IFERROR(INDEX(Товары!$D$4:$D$200,MATCH(E428,Товары!$B$4:$B$200,0)),0))</f>
        <v/>
      </c>
      <c r="H428" s="29"/>
      <c r="I428" s="32" t="str">
        <f aca="false">IF(OR(E428="",F428=""),"",F428*G428-N(H428))</f>
        <v/>
      </c>
      <c r="J428" s="29"/>
      <c r="K428" s="32" t="str">
        <f aca="false">IF(AND(I428="",N(J428)=0),"",N(I428)+N(J428))</f>
        <v/>
      </c>
      <c r="L428" s="32" t="str">
        <f aca="false">IF(OR(E428="",F428=""),"",F428*IFERROR(INDEX(Товары!$C$4:$C$200,MATCH(E428,Товары!$B$4:$B$200,0)),0))</f>
        <v/>
      </c>
      <c r="M428" s="32" t="str">
        <f aca="false">IF(I428="","",I428-L428)</f>
        <v/>
      </c>
      <c r="N428" s="28"/>
      <c r="O428" s="28"/>
      <c r="P428" s="28"/>
      <c r="Q428" s="28"/>
      <c r="R428" s="35"/>
      <c r="S428" s="28"/>
    </row>
    <row r="429" customFormat="false" ht="15" hidden="false" customHeight="false" outlineLevel="0" collapsed="false">
      <c r="A429" s="34" t="str">
        <f aca="false">IF(E429="","",ROW()-3)</f>
        <v/>
      </c>
      <c r="B429" s="35"/>
      <c r="C429" s="28"/>
      <c r="D429" s="28"/>
      <c r="E429" s="28"/>
      <c r="F429" s="28"/>
      <c r="G429" s="32" t="str">
        <f aca="false">IF(E429="","",IFERROR(INDEX(Товары!$D$4:$D$200,MATCH(E429,Товары!$B$4:$B$200,0)),0))</f>
        <v/>
      </c>
      <c r="H429" s="29"/>
      <c r="I429" s="32" t="str">
        <f aca="false">IF(OR(E429="",F429=""),"",F429*G429-N(H429))</f>
        <v/>
      </c>
      <c r="J429" s="29"/>
      <c r="K429" s="32" t="str">
        <f aca="false">IF(AND(I429="",N(J429)=0),"",N(I429)+N(J429))</f>
        <v/>
      </c>
      <c r="L429" s="32" t="str">
        <f aca="false">IF(OR(E429="",F429=""),"",F429*IFERROR(INDEX(Товары!$C$4:$C$200,MATCH(E429,Товары!$B$4:$B$200,0)),0))</f>
        <v/>
      </c>
      <c r="M429" s="32" t="str">
        <f aca="false">IF(I429="","",I429-L429)</f>
        <v/>
      </c>
      <c r="N429" s="28"/>
      <c r="O429" s="28"/>
      <c r="P429" s="28"/>
      <c r="Q429" s="28"/>
      <c r="R429" s="35"/>
      <c r="S429" s="28"/>
    </row>
    <row r="430" customFormat="false" ht="15" hidden="false" customHeight="false" outlineLevel="0" collapsed="false">
      <c r="A430" s="34" t="str">
        <f aca="false">IF(E430="","",ROW()-3)</f>
        <v/>
      </c>
      <c r="B430" s="35"/>
      <c r="C430" s="28"/>
      <c r="D430" s="28"/>
      <c r="E430" s="28"/>
      <c r="F430" s="28"/>
      <c r="G430" s="32" t="str">
        <f aca="false">IF(E430="","",IFERROR(INDEX(Товары!$D$4:$D$200,MATCH(E430,Товары!$B$4:$B$200,0)),0))</f>
        <v/>
      </c>
      <c r="H430" s="29"/>
      <c r="I430" s="32" t="str">
        <f aca="false">IF(OR(E430="",F430=""),"",F430*G430-N(H430))</f>
        <v/>
      </c>
      <c r="J430" s="29"/>
      <c r="K430" s="32" t="str">
        <f aca="false">IF(AND(I430="",N(J430)=0),"",N(I430)+N(J430))</f>
        <v/>
      </c>
      <c r="L430" s="32" t="str">
        <f aca="false">IF(OR(E430="",F430=""),"",F430*IFERROR(INDEX(Товары!$C$4:$C$200,MATCH(E430,Товары!$B$4:$B$200,0)),0))</f>
        <v/>
      </c>
      <c r="M430" s="32" t="str">
        <f aca="false">IF(I430="","",I430-L430)</f>
        <v/>
      </c>
      <c r="N430" s="28"/>
      <c r="O430" s="28"/>
      <c r="P430" s="28"/>
      <c r="Q430" s="28"/>
      <c r="R430" s="35"/>
      <c r="S430" s="28"/>
    </row>
    <row r="431" customFormat="false" ht="15" hidden="false" customHeight="false" outlineLevel="0" collapsed="false">
      <c r="A431" s="34" t="str">
        <f aca="false">IF(E431="","",ROW()-3)</f>
        <v/>
      </c>
      <c r="B431" s="35"/>
      <c r="C431" s="28"/>
      <c r="D431" s="28"/>
      <c r="E431" s="28"/>
      <c r="F431" s="28"/>
      <c r="G431" s="32" t="str">
        <f aca="false">IF(E431="","",IFERROR(INDEX(Товары!$D$4:$D$200,MATCH(E431,Товары!$B$4:$B$200,0)),0))</f>
        <v/>
      </c>
      <c r="H431" s="29"/>
      <c r="I431" s="32" t="str">
        <f aca="false">IF(OR(E431="",F431=""),"",F431*G431-N(H431))</f>
        <v/>
      </c>
      <c r="J431" s="29"/>
      <c r="K431" s="32" t="str">
        <f aca="false">IF(AND(I431="",N(J431)=0),"",N(I431)+N(J431))</f>
        <v/>
      </c>
      <c r="L431" s="32" t="str">
        <f aca="false">IF(OR(E431="",F431=""),"",F431*IFERROR(INDEX(Товары!$C$4:$C$200,MATCH(E431,Товары!$B$4:$B$200,0)),0))</f>
        <v/>
      </c>
      <c r="M431" s="32" t="str">
        <f aca="false">IF(I431="","",I431-L431)</f>
        <v/>
      </c>
      <c r="N431" s="28"/>
      <c r="O431" s="28"/>
      <c r="P431" s="28"/>
      <c r="Q431" s="28"/>
      <c r="R431" s="35"/>
      <c r="S431" s="28"/>
    </row>
    <row r="432" customFormat="false" ht="15" hidden="false" customHeight="false" outlineLevel="0" collapsed="false">
      <c r="A432" s="34" t="str">
        <f aca="false">IF(E432="","",ROW()-3)</f>
        <v/>
      </c>
      <c r="B432" s="35"/>
      <c r="C432" s="28"/>
      <c r="D432" s="28"/>
      <c r="E432" s="28"/>
      <c r="F432" s="28"/>
      <c r="G432" s="32" t="str">
        <f aca="false">IF(E432="","",IFERROR(INDEX(Товары!$D$4:$D$200,MATCH(E432,Товары!$B$4:$B$200,0)),0))</f>
        <v/>
      </c>
      <c r="H432" s="29"/>
      <c r="I432" s="32" t="str">
        <f aca="false">IF(OR(E432="",F432=""),"",F432*G432-N(H432))</f>
        <v/>
      </c>
      <c r="J432" s="29"/>
      <c r="K432" s="32" t="str">
        <f aca="false">IF(AND(I432="",N(J432)=0),"",N(I432)+N(J432))</f>
        <v/>
      </c>
      <c r="L432" s="32" t="str">
        <f aca="false">IF(OR(E432="",F432=""),"",F432*IFERROR(INDEX(Товары!$C$4:$C$200,MATCH(E432,Товары!$B$4:$B$200,0)),0))</f>
        <v/>
      </c>
      <c r="M432" s="32" t="str">
        <f aca="false">IF(I432="","",I432-L432)</f>
        <v/>
      </c>
      <c r="N432" s="28"/>
      <c r="O432" s="28"/>
      <c r="P432" s="28"/>
      <c r="Q432" s="28"/>
      <c r="R432" s="35"/>
      <c r="S432" s="28"/>
    </row>
    <row r="433" customFormat="false" ht="15" hidden="false" customHeight="false" outlineLevel="0" collapsed="false">
      <c r="A433" s="34" t="str">
        <f aca="false">IF(E433="","",ROW()-3)</f>
        <v/>
      </c>
      <c r="B433" s="35"/>
      <c r="C433" s="28"/>
      <c r="D433" s="28"/>
      <c r="E433" s="28"/>
      <c r="F433" s="28"/>
      <c r="G433" s="32" t="str">
        <f aca="false">IF(E433="","",IFERROR(INDEX(Товары!$D$4:$D$200,MATCH(E433,Товары!$B$4:$B$200,0)),0))</f>
        <v/>
      </c>
      <c r="H433" s="29"/>
      <c r="I433" s="32" t="str">
        <f aca="false">IF(OR(E433="",F433=""),"",F433*G433-N(H433))</f>
        <v/>
      </c>
      <c r="J433" s="29"/>
      <c r="K433" s="32" t="str">
        <f aca="false">IF(AND(I433="",N(J433)=0),"",N(I433)+N(J433))</f>
        <v/>
      </c>
      <c r="L433" s="32" t="str">
        <f aca="false">IF(OR(E433="",F433=""),"",F433*IFERROR(INDEX(Товары!$C$4:$C$200,MATCH(E433,Товары!$B$4:$B$200,0)),0))</f>
        <v/>
      </c>
      <c r="M433" s="32" t="str">
        <f aca="false">IF(I433="","",I433-L433)</f>
        <v/>
      </c>
      <c r="N433" s="28"/>
      <c r="O433" s="28"/>
      <c r="P433" s="28"/>
      <c r="Q433" s="28"/>
      <c r="R433" s="35"/>
      <c r="S433" s="28"/>
    </row>
    <row r="434" customFormat="false" ht="15" hidden="false" customHeight="false" outlineLevel="0" collapsed="false">
      <c r="A434" s="34" t="str">
        <f aca="false">IF(E434="","",ROW()-3)</f>
        <v/>
      </c>
      <c r="B434" s="35"/>
      <c r="C434" s="28"/>
      <c r="D434" s="28"/>
      <c r="E434" s="28"/>
      <c r="F434" s="28"/>
      <c r="G434" s="32" t="str">
        <f aca="false">IF(E434="","",IFERROR(INDEX(Товары!$D$4:$D$200,MATCH(E434,Товары!$B$4:$B$200,0)),0))</f>
        <v/>
      </c>
      <c r="H434" s="29"/>
      <c r="I434" s="32" t="str">
        <f aca="false">IF(OR(E434="",F434=""),"",F434*G434-N(H434))</f>
        <v/>
      </c>
      <c r="J434" s="29"/>
      <c r="K434" s="32" t="str">
        <f aca="false">IF(AND(I434="",N(J434)=0),"",N(I434)+N(J434))</f>
        <v/>
      </c>
      <c r="L434" s="32" t="str">
        <f aca="false">IF(OR(E434="",F434=""),"",F434*IFERROR(INDEX(Товары!$C$4:$C$200,MATCH(E434,Товары!$B$4:$B$200,0)),0))</f>
        <v/>
      </c>
      <c r="M434" s="32" t="str">
        <f aca="false">IF(I434="","",I434-L434)</f>
        <v/>
      </c>
      <c r="N434" s="28"/>
      <c r="O434" s="28"/>
      <c r="P434" s="28"/>
      <c r="Q434" s="28"/>
      <c r="R434" s="35"/>
      <c r="S434" s="28"/>
    </row>
    <row r="435" customFormat="false" ht="15" hidden="false" customHeight="false" outlineLevel="0" collapsed="false">
      <c r="A435" s="34" t="str">
        <f aca="false">IF(E435="","",ROW()-3)</f>
        <v/>
      </c>
      <c r="B435" s="35"/>
      <c r="C435" s="28"/>
      <c r="D435" s="28"/>
      <c r="E435" s="28"/>
      <c r="F435" s="28"/>
      <c r="G435" s="32" t="str">
        <f aca="false">IF(E435="","",IFERROR(INDEX(Товары!$D$4:$D$200,MATCH(E435,Товары!$B$4:$B$200,0)),0))</f>
        <v/>
      </c>
      <c r="H435" s="29"/>
      <c r="I435" s="32" t="str">
        <f aca="false">IF(OR(E435="",F435=""),"",F435*G435-N(H435))</f>
        <v/>
      </c>
      <c r="J435" s="29"/>
      <c r="K435" s="32" t="str">
        <f aca="false">IF(AND(I435="",N(J435)=0),"",N(I435)+N(J435))</f>
        <v/>
      </c>
      <c r="L435" s="32" t="str">
        <f aca="false">IF(OR(E435="",F435=""),"",F435*IFERROR(INDEX(Товары!$C$4:$C$200,MATCH(E435,Товары!$B$4:$B$200,0)),0))</f>
        <v/>
      </c>
      <c r="M435" s="32" t="str">
        <f aca="false">IF(I435="","",I435-L435)</f>
        <v/>
      </c>
      <c r="N435" s="28"/>
      <c r="O435" s="28"/>
      <c r="P435" s="28"/>
      <c r="Q435" s="28"/>
      <c r="R435" s="35"/>
      <c r="S435" s="28"/>
    </row>
    <row r="436" customFormat="false" ht="15" hidden="false" customHeight="false" outlineLevel="0" collapsed="false">
      <c r="A436" s="34" t="str">
        <f aca="false">IF(E436="","",ROW()-3)</f>
        <v/>
      </c>
      <c r="B436" s="35"/>
      <c r="C436" s="28"/>
      <c r="D436" s="28"/>
      <c r="E436" s="28"/>
      <c r="F436" s="28"/>
      <c r="G436" s="32" t="str">
        <f aca="false">IF(E436="","",IFERROR(INDEX(Товары!$D$4:$D$200,MATCH(E436,Товары!$B$4:$B$200,0)),0))</f>
        <v/>
      </c>
      <c r="H436" s="29"/>
      <c r="I436" s="32" t="str">
        <f aca="false">IF(OR(E436="",F436=""),"",F436*G436-N(H436))</f>
        <v/>
      </c>
      <c r="J436" s="29"/>
      <c r="K436" s="32" t="str">
        <f aca="false">IF(AND(I436="",N(J436)=0),"",N(I436)+N(J436))</f>
        <v/>
      </c>
      <c r="L436" s="32" t="str">
        <f aca="false">IF(OR(E436="",F436=""),"",F436*IFERROR(INDEX(Товары!$C$4:$C$200,MATCH(E436,Товары!$B$4:$B$200,0)),0))</f>
        <v/>
      </c>
      <c r="M436" s="32" t="str">
        <f aca="false">IF(I436="","",I436-L436)</f>
        <v/>
      </c>
      <c r="N436" s="28"/>
      <c r="O436" s="28"/>
      <c r="P436" s="28"/>
      <c r="Q436" s="28"/>
      <c r="R436" s="35"/>
      <c r="S436" s="28"/>
    </row>
    <row r="437" customFormat="false" ht="15" hidden="false" customHeight="false" outlineLevel="0" collapsed="false">
      <c r="A437" s="34" t="str">
        <f aca="false">IF(E437="","",ROW()-3)</f>
        <v/>
      </c>
      <c r="B437" s="35"/>
      <c r="C437" s="28"/>
      <c r="D437" s="28"/>
      <c r="E437" s="28"/>
      <c r="F437" s="28"/>
      <c r="G437" s="32" t="str">
        <f aca="false">IF(E437="","",IFERROR(INDEX(Товары!$D$4:$D$200,MATCH(E437,Товары!$B$4:$B$200,0)),0))</f>
        <v/>
      </c>
      <c r="H437" s="29"/>
      <c r="I437" s="32" t="str">
        <f aca="false">IF(OR(E437="",F437=""),"",F437*G437-N(H437))</f>
        <v/>
      </c>
      <c r="J437" s="29"/>
      <c r="K437" s="32" t="str">
        <f aca="false">IF(AND(I437="",N(J437)=0),"",N(I437)+N(J437))</f>
        <v/>
      </c>
      <c r="L437" s="32" t="str">
        <f aca="false">IF(OR(E437="",F437=""),"",F437*IFERROR(INDEX(Товары!$C$4:$C$200,MATCH(E437,Товары!$B$4:$B$200,0)),0))</f>
        <v/>
      </c>
      <c r="M437" s="32" t="str">
        <f aca="false">IF(I437="","",I437-L437)</f>
        <v/>
      </c>
      <c r="N437" s="28"/>
      <c r="O437" s="28"/>
      <c r="P437" s="28"/>
      <c r="Q437" s="28"/>
      <c r="R437" s="35"/>
      <c r="S437" s="28"/>
    </row>
    <row r="438" customFormat="false" ht="15" hidden="false" customHeight="false" outlineLevel="0" collapsed="false">
      <c r="A438" s="34" t="str">
        <f aca="false">IF(E438="","",ROW()-3)</f>
        <v/>
      </c>
      <c r="B438" s="35"/>
      <c r="C438" s="28"/>
      <c r="D438" s="28"/>
      <c r="E438" s="28"/>
      <c r="F438" s="28"/>
      <c r="G438" s="32" t="str">
        <f aca="false">IF(E438="","",IFERROR(INDEX(Товары!$D$4:$D$200,MATCH(E438,Товары!$B$4:$B$200,0)),0))</f>
        <v/>
      </c>
      <c r="H438" s="29"/>
      <c r="I438" s="32" t="str">
        <f aca="false">IF(OR(E438="",F438=""),"",F438*G438-N(H438))</f>
        <v/>
      </c>
      <c r="J438" s="29"/>
      <c r="K438" s="32" t="str">
        <f aca="false">IF(AND(I438="",N(J438)=0),"",N(I438)+N(J438))</f>
        <v/>
      </c>
      <c r="L438" s="32" t="str">
        <f aca="false">IF(OR(E438="",F438=""),"",F438*IFERROR(INDEX(Товары!$C$4:$C$200,MATCH(E438,Товары!$B$4:$B$200,0)),0))</f>
        <v/>
      </c>
      <c r="M438" s="32" t="str">
        <f aca="false">IF(I438="","",I438-L438)</f>
        <v/>
      </c>
      <c r="N438" s="28"/>
      <c r="O438" s="28"/>
      <c r="P438" s="28"/>
      <c r="Q438" s="28"/>
      <c r="R438" s="35"/>
      <c r="S438" s="28"/>
    </row>
    <row r="439" customFormat="false" ht="15" hidden="false" customHeight="false" outlineLevel="0" collapsed="false">
      <c r="A439" s="34" t="str">
        <f aca="false">IF(E439="","",ROW()-3)</f>
        <v/>
      </c>
      <c r="B439" s="35"/>
      <c r="C439" s="28"/>
      <c r="D439" s="28"/>
      <c r="E439" s="28"/>
      <c r="F439" s="28"/>
      <c r="G439" s="32" t="str">
        <f aca="false">IF(E439="","",IFERROR(INDEX(Товары!$D$4:$D$200,MATCH(E439,Товары!$B$4:$B$200,0)),0))</f>
        <v/>
      </c>
      <c r="H439" s="29"/>
      <c r="I439" s="32" t="str">
        <f aca="false">IF(OR(E439="",F439=""),"",F439*G439-N(H439))</f>
        <v/>
      </c>
      <c r="J439" s="29"/>
      <c r="K439" s="32" t="str">
        <f aca="false">IF(AND(I439="",N(J439)=0),"",N(I439)+N(J439))</f>
        <v/>
      </c>
      <c r="L439" s="32" t="str">
        <f aca="false">IF(OR(E439="",F439=""),"",F439*IFERROR(INDEX(Товары!$C$4:$C$200,MATCH(E439,Товары!$B$4:$B$200,0)),0))</f>
        <v/>
      </c>
      <c r="M439" s="32" t="str">
        <f aca="false">IF(I439="","",I439-L439)</f>
        <v/>
      </c>
      <c r="N439" s="28"/>
      <c r="O439" s="28"/>
      <c r="P439" s="28"/>
      <c r="Q439" s="28"/>
      <c r="R439" s="35"/>
      <c r="S439" s="28"/>
    </row>
    <row r="440" customFormat="false" ht="15" hidden="false" customHeight="false" outlineLevel="0" collapsed="false">
      <c r="A440" s="34" t="str">
        <f aca="false">IF(E440="","",ROW()-3)</f>
        <v/>
      </c>
      <c r="B440" s="35"/>
      <c r="C440" s="28"/>
      <c r="D440" s="28"/>
      <c r="E440" s="28"/>
      <c r="F440" s="28"/>
      <c r="G440" s="32" t="str">
        <f aca="false">IF(E440="","",IFERROR(INDEX(Товары!$D$4:$D$200,MATCH(E440,Товары!$B$4:$B$200,0)),0))</f>
        <v/>
      </c>
      <c r="H440" s="29"/>
      <c r="I440" s="32" t="str">
        <f aca="false">IF(OR(E440="",F440=""),"",F440*G440-N(H440))</f>
        <v/>
      </c>
      <c r="J440" s="29"/>
      <c r="K440" s="32" t="str">
        <f aca="false">IF(AND(I440="",N(J440)=0),"",N(I440)+N(J440))</f>
        <v/>
      </c>
      <c r="L440" s="32" t="str">
        <f aca="false">IF(OR(E440="",F440=""),"",F440*IFERROR(INDEX(Товары!$C$4:$C$200,MATCH(E440,Товары!$B$4:$B$200,0)),0))</f>
        <v/>
      </c>
      <c r="M440" s="32" t="str">
        <f aca="false">IF(I440="","",I440-L440)</f>
        <v/>
      </c>
      <c r="N440" s="28"/>
      <c r="O440" s="28"/>
      <c r="P440" s="28"/>
      <c r="Q440" s="28"/>
      <c r="R440" s="35"/>
      <c r="S440" s="28"/>
    </row>
    <row r="441" customFormat="false" ht="15" hidden="false" customHeight="false" outlineLevel="0" collapsed="false">
      <c r="A441" s="34" t="str">
        <f aca="false">IF(E441="","",ROW()-3)</f>
        <v/>
      </c>
      <c r="B441" s="35"/>
      <c r="C441" s="28"/>
      <c r="D441" s="28"/>
      <c r="E441" s="28"/>
      <c r="F441" s="28"/>
      <c r="G441" s="32" t="str">
        <f aca="false">IF(E441="","",IFERROR(INDEX(Товары!$D$4:$D$200,MATCH(E441,Товары!$B$4:$B$200,0)),0))</f>
        <v/>
      </c>
      <c r="H441" s="29"/>
      <c r="I441" s="32" t="str">
        <f aca="false">IF(OR(E441="",F441=""),"",F441*G441-N(H441))</f>
        <v/>
      </c>
      <c r="J441" s="29"/>
      <c r="K441" s="32" t="str">
        <f aca="false">IF(AND(I441="",N(J441)=0),"",N(I441)+N(J441))</f>
        <v/>
      </c>
      <c r="L441" s="32" t="str">
        <f aca="false">IF(OR(E441="",F441=""),"",F441*IFERROR(INDEX(Товары!$C$4:$C$200,MATCH(E441,Товары!$B$4:$B$200,0)),0))</f>
        <v/>
      </c>
      <c r="M441" s="32" t="str">
        <f aca="false">IF(I441="","",I441-L441)</f>
        <v/>
      </c>
      <c r="N441" s="28"/>
      <c r="O441" s="28"/>
      <c r="P441" s="28"/>
      <c r="Q441" s="28"/>
      <c r="R441" s="35"/>
      <c r="S441" s="28"/>
    </row>
    <row r="442" customFormat="false" ht="15" hidden="false" customHeight="false" outlineLevel="0" collapsed="false">
      <c r="A442" s="34" t="str">
        <f aca="false">IF(E442="","",ROW()-3)</f>
        <v/>
      </c>
      <c r="B442" s="35"/>
      <c r="C442" s="28"/>
      <c r="D442" s="28"/>
      <c r="E442" s="28"/>
      <c r="F442" s="28"/>
      <c r="G442" s="32" t="str">
        <f aca="false">IF(E442="","",IFERROR(INDEX(Товары!$D$4:$D$200,MATCH(E442,Товары!$B$4:$B$200,0)),0))</f>
        <v/>
      </c>
      <c r="H442" s="29"/>
      <c r="I442" s="32" t="str">
        <f aca="false">IF(OR(E442="",F442=""),"",F442*G442-N(H442))</f>
        <v/>
      </c>
      <c r="J442" s="29"/>
      <c r="K442" s="32" t="str">
        <f aca="false">IF(AND(I442="",N(J442)=0),"",N(I442)+N(J442))</f>
        <v/>
      </c>
      <c r="L442" s="32" t="str">
        <f aca="false">IF(OR(E442="",F442=""),"",F442*IFERROR(INDEX(Товары!$C$4:$C$200,MATCH(E442,Товары!$B$4:$B$200,0)),0))</f>
        <v/>
      </c>
      <c r="M442" s="32" t="str">
        <f aca="false">IF(I442="","",I442-L442)</f>
        <v/>
      </c>
      <c r="N442" s="28"/>
      <c r="O442" s="28"/>
      <c r="P442" s="28"/>
      <c r="Q442" s="28"/>
      <c r="R442" s="35"/>
      <c r="S442" s="28"/>
    </row>
    <row r="443" customFormat="false" ht="15" hidden="false" customHeight="false" outlineLevel="0" collapsed="false">
      <c r="A443" s="34" t="str">
        <f aca="false">IF(E443="","",ROW()-3)</f>
        <v/>
      </c>
      <c r="B443" s="35"/>
      <c r="C443" s="28"/>
      <c r="D443" s="28"/>
      <c r="E443" s="28"/>
      <c r="F443" s="28"/>
      <c r="G443" s="32" t="str">
        <f aca="false">IF(E443="","",IFERROR(INDEX(Товары!$D$4:$D$200,MATCH(E443,Товары!$B$4:$B$200,0)),0))</f>
        <v/>
      </c>
      <c r="H443" s="29"/>
      <c r="I443" s="32" t="str">
        <f aca="false">IF(OR(E443="",F443=""),"",F443*G443-N(H443))</f>
        <v/>
      </c>
      <c r="J443" s="29"/>
      <c r="K443" s="32" t="str">
        <f aca="false">IF(AND(I443="",N(J443)=0),"",N(I443)+N(J443))</f>
        <v/>
      </c>
      <c r="L443" s="32" t="str">
        <f aca="false">IF(OR(E443="",F443=""),"",F443*IFERROR(INDEX(Товары!$C$4:$C$200,MATCH(E443,Товары!$B$4:$B$200,0)),0))</f>
        <v/>
      </c>
      <c r="M443" s="32" t="str">
        <f aca="false">IF(I443="","",I443-L443)</f>
        <v/>
      </c>
      <c r="N443" s="28"/>
      <c r="O443" s="28"/>
      <c r="P443" s="28"/>
      <c r="Q443" s="28"/>
      <c r="R443" s="35"/>
      <c r="S443" s="28"/>
    </row>
    <row r="444" customFormat="false" ht="15" hidden="false" customHeight="false" outlineLevel="0" collapsed="false">
      <c r="A444" s="34" t="str">
        <f aca="false">IF(E444="","",ROW()-3)</f>
        <v/>
      </c>
      <c r="B444" s="35"/>
      <c r="C444" s="28"/>
      <c r="D444" s="28"/>
      <c r="E444" s="28"/>
      <c r="F444" s="28"/>
      <c r="G444" s="32" t="str">
        <f aca="false">IF(E444="","",IFERROR(INDEX(Товары!$D$4:$D$200,MATCH(E444,Товары!$B$4:$B$200,0)),0))</f>
        <v/>
      </c>
      <c r="H444" s="29"/>
      <c r="I444" s="32" t="str">
        <f aca="false">IF(OR(E444="",F444=""),"",F444*G444-N(H444))</f>
        <v/>
      </c>
      <c r="J444" s="29"/>
      <c r="K444" s="32" t="str">
        <f aca="false">IF(AND(I444="",N(J444)=0),"",N(I444)+N(J444))</f>
        <v/>
      </c>
      <c r="L444" s="32" t="str">
        <f aca="false">IF(OR(E444="",F444=""),"",F444*IFERROR(INDEX(Товары!$C$4:$C$200,MATCH(E444,Товары!$B$4:$B$200,0)),0))</f>
        <v/>
      </c>
      <c r="M444" s="32" t="str">
        <f aca="false">IF(I444="","",I444-L444)</f>
        <v/>
      </c>
      <c r="N444" s="28"/>
      <c r="O444" s="28"/>
      <c r="P444" s="28"/>
      <c r="Q444" s="28"/>
      <c r="R444" s="35"/>
      <c r="S444" s="28"/>
    </row>
    <row r="445" customFormat="false" ht="15" hidden="false" customHeight="false" outlineLevel="0" collapsed="false">
      <c r="A445" s="34" t="str">
        <f aca="false">IF(E445="","",ROW()-3)</f>
        <v/>
      </c>
      <c r="B445" s="35"/>
      <c r="C445" s="28"/>
      <c r="D445" s="28"/>
      <c r="E445" s="28"/>
      <c r="F445" s="28"/>
      <c r="G445" s="32" t="str">
        <f aca="false">IF(E445="","",IFERROR(INDEX(Товары!$D$4:$D$200,MATCH(E445,Товары!$B$4:$B$200,0)),0))</f>
        <v/>
      </c>
      <c r="H445" s="29"/>
      <c r="I445" s="32" t="str">
        <f aca="false">IF(OR(E445="",F445=""),"",F445*G445-N(H445))</f>
        <v/>
      </c>
      <c r="J445" s="29"/>
      <c r="K445" s="32" t="str">
        <f aca="false">IF(AND(I445="",N(J445)=0),"",N(I445)+N(J445))</f>
        <v/>
      </c>
      <c r="L445" s="32" t="str">
        <f aca="false">IF(OR(E445="",F445=""),"",F445*IFERROR(INDEX(Товары!$C$4:$C$200,MATCH(E445,Товары!$B$4:$B$200,0)),0))</f>
        <v/>
      </c>
      <c r="M445" s="32" t="str">
        <f aca="false">IF(I445="","",I445-L445)</f>
        <v/>
      </c>
      <c r="N445" s="28"/>
      <c r="O445" s="28"/>
      <c r="P445" s="28"/>
      <c r="Q445" s="28"/>
      <c r="R445" s="35"/>
      <c r="S445" s="28"/>
    </row>
    <row r="446" customFormat="false" ht="15" hidden="false" customHeight="false" outlineLevel="0" collapsed="false">
      <c r="A446" s="34" t="str">
        <f aca="false">IF(E446="","",ROW()-3)</f>
        <v/>
      </c>
      <c r="B446" s="35"/>
      <c r="C446" s="28"/>
      <c r="D446" s="28"/>
      <c r="E446" s="28"/>
      <c r="F446" s="28"/>
      <c r="G446" s="32" t="str">
        <f aca="false">IF(E446="","",IFERROR(INDEX(Товары!$D$4:$D$200,MATCH(E446,Товары!$B$4:$B$200,0)),0))</f>
        <v/>
      </c>
      <c r="H446" s="29"/>
      <c r="I446" s="32" t="str">
        <f aca="false">IF(OR(E446="",F446=""),"",F446*G446-N(H446))</f>
        <v/>
      </c>
      <c r="J446" s="29"/>
      <c r="K446" s="32" t="str">
        <f aca="false">IF(AND(I446="",N(J446)=0),"",N(I446)+N(J446))</f>
        <v/>
      </c>
      <c r="L446" s="32" t="str">
        <f aca="false">IF(OR(E446="",F446=""),"",F446*IFERROR(INDEX(Товары!$C$4:$C$200,MATCH(E446,Товары!$B$4:$B$200,0)),0))</f>
        <v/>
      </c>
      <c r="M446" s="32" t="str">
        <f aca="false">IF(I446="","",I446-L446)</f>
        <v/>
      </c>
      <c r="N446" s="28"/>
      <c r="O446" s="28"/>
      <c r="P446" s="28"/>
      <c r="Q446" s="28"/>
      <c r="R446" s="35"/>
      <c r="S446" s="28"/>
    </row>
    <row r="447" customFormat="false" ht="15" hidden="false" customHeight="false" outlineLevel="0" collapsed="false">
      <c r="A447" s="34" t="str">
        <f aca="false">IF(E447="","",ROW()-3)</f>
        <v/>
      </c>
      <c r="B447" s="35"/>
      <c r="C447" s="28"/>
      <c r="D447" s="28"/>
      <c r="E447" s="28"/>
      <c r="F447" s="28"/>
      <c r="G447" s="32" t="str">
        <f aca="false">IF(E447="","",IFERROR(INDEX(Товары!$D$4:$D$200,MATCH(E447,Товары!$B$4:$B$200,0)),0))</f>
        <v/>
      </c>
      <c r="H447" s="29"/>
      <c r="I447" s="32" t="str">
        <f aca="false">IF(OR(E447="",F447=""),"",F447*G447-N(H447))</f>
        <v/>
      </c>
      <c r="J447" s="29"/>
      <c r="K447" s="32" t="str">
        <f aca="false">IF(AND(I447="",N(J447)=0),"",N(I447)+N(J447))</f>
        <v/>
      </c>
      <c r="L447" s="32" t="str">
        <f aca="false">IF(OR(E447="",F447=""),"",F447*IFERROR(INDEX(Товары!$C$4:$C$200,MATCH(E447,Товары!$B$4:$B$200,0)),0))</f>
        <v/>
      </c>
      <c r="M447" s="32" t="str">
        <f aca="false">IF(I447="","",I447-L447)</f>
        <v/>
      </c>
      <c r="N447" s="28"/>
      <c r="O447" s="28"/>
      <c r="P447" s="28"/>
      <c r="Q447" s="28"/>
      <c r="R447" s="35"/>
      <c r="S447" s="28"/>
    </row>
    <row r="448" customFormat="false" ht="15" hidden="false" customHeight="false" outlineLevel="0" collapsed="false">
      <c r="A448" s="34" t="str">
        <f aca="false">IF(E448="","",ROW()-3)</f>
        <v/>
      </c>
      <c r="B448" s="35"/>
      <c r="C448" s="28"/>
      <c r="D448" s="28"/>
      <c r="E448" s="28"/>
      <c r="F448" s="28"/>
      <c r="G448" s="32" t="str">
        <f aca="false">IF(E448="","",IFERROR(INDEX(Товары!$D$4:$D$200,MATCH(E448,Товары!$B$4:$B$200,0)),0))</f>
        <v/>
      </c>
      <c r="H448" s="29"/>
      <c r="I448" s="32" t="str">
        <f aca="false">IF(OR(E448="",F448=""),"",F448*G448-N(H448))</f>
        <v/>
      </c>
      <c r="J448" s="29"/>
      <c r="K448" s="32" t="str">
        <f aca="false">IF(AND(I448="",N(J448)=0),"",N(I448)+N(J448))</f>
        <v/>
      </c>
      <c r="L448" s="32" t="str">
        <f aca="false">IF(OR(E448="",F448=""),"",F448*IFERROR(INDEX(Товары!$C$4:$C$200,MATCH(E448,Товары!$B$4:$B$200,0)),0))</f>
        <v/>
      </c>
      <c r="M448" s="32" t="str">
        <f aca="false">IF(I448="","",I448-L448)</f>
        <v/>
      </c>
      <c r="N448" s="28"/>
      <c r="O448" s="28"/>
      <c r="P448" s="28"/>
      <c r="Q448" s="28"/>
      <c r="R448" s="35"/>
      <c r="S448" s="28"/>
    </row>
    <row r="449" customFormat="false" ht="15" hidden="false" customHeight="false" outlineLevel="0" collapsed="false">
      <c r="A449" s="34" t="str">
        <f aca="false">IF(E449="","",ROW()-3)</f>
        <v/>
      </c>
      <c r="B449" s="35"/>
      <c r="C449" s="28"/>
      <c r="D449" s="28"/>
      <c r="E449" s="28"/>
      <c r="F449" s="28"/>
      <c r="G449" s="32" t="str">
        <f aca="false">IF(E449="","",IFERROR(INDEX(Товары!$D$4:$D$200,MATCH(E449,Товары!$B$4:$B$200,0)),0))</f>
        <v/>
      </c>
      <c r="H449" s="29"/>
      <c r="I449" s="32" t="str">
        <f aca="false">IF(OR(E449="",F449=""),"",F449*G449-N(H449))</f>
        <v/>
      </c>
      <c r="J449" s="29"/>
      <c r="K449" s="32" t="str">
        <f aca="false">IF(AND(I449="",N(J449)=0),"",N(I449)+N(J449))</f>
        <v/>
      </c>
      <c r="L449" s="32" t="str">
        <f aca="false">IF(OR(E449="",F449=""),"",F449*IFERROR(INDEX(Товары!$C$4:$C$200,MATCH(E449,Товары!$B$4:$B$200,0)),0))</f>
        <v/>
      </c>
      <c r="M449" s="32" t="str">
        <f aca="false">IF(I449="","",I449-L449)</f>
        <v/>
      </c>
      <c r="N449" s="28"/>
      <c r="O449" s="28"/>
      <c r="P449" s="28"/>
      <c r="Q449" s="28"/>
      <c r="R449" s="35"/>
      <c r="S449" s="28"/>
    </row>
    <row r="450" customFormat="false" ht="15" hidden="false" customHeight="false" outlineLevel="0" collapsed="false">
      <c r="A450" s="34" t="str">
        <f aca="false">IF(E450="","",ROW()-3)</f>
        <v/>
      </c>
      <c r="B450" s="35"/>
      <c r="C450" s="28"/>
      <c r="D450" s="28"/>
      <c r="E450" s="28"/>
      <c r="F450" s="28"/>
      <c r="G450" s="32" t="str">
        <f aca="false">IF(E450="","",IFERROR(INDEX(Товары!$D$4:$D$200,MATCH(E450,Товары!$B$4:$B$200,0)),0))</f>
        <v/>
      </c>
      <c r="H450" s="29"/>
      <c r="I450" s="32" t="str">
        <f aca="false">IF(OR(E450="",F450=""),"",F450*G450-N(H450))</f>
        <v/>
      </c>
      <c r="J450" s="29"/>
      <c r="K450" s="32" t="str">
        <f aca="false">IF(AND(I450="",N(J450)=0),"",N(I450)+N(J450))</f>
        <v/>
      </c>
      <c r="L450" s="32" t="str">
        <f aca="false">IF(OR(E450="",F450=""),"",F450*IFERROR(INDEX(Товары!$C$4:$C$200,MATCH(E450,Товары!$B$4:$B$200,0)),0))</f>
        <v/>
      </c>
      <c r="M450" s="32" t="str">
        <f aca="false">IF(I450="","",I450-L450)</f>
        <v/>
      </c>
      <c r="N450" s="28"/>
      <c r="O450" s="28"/>
      <c r="P450" s="28"/>
      <c r="Q450" s="28"/>
      <c r="R450" s="35"/>
      <c r="S450" s="28"/>
    </row>
    <row r="451" customFormat="false" ht="15" hidden="false" customHeight="false" outlineLevel="0" collapsed="false">
      <c r="A451" s="34" t="str">
        <f aca="false">IF(E451="","",ROW()-3)</f>
        <v/>
      </c>
      <c r="B451" s="35"/>
      <c r="C451" s="28"/>
      <c r="D451" s="28"/>
      <c r="E451" s="28"/>
      <c r="F451" s="28"/>
      <c r="G451" s="32" t="str">
        <f aca="false">IF(E451="","",IFERROR(INDEX(Товары!$D$4:$D$200,MATCH(E451,Товары!$B$4:$B$200,0)),0))</f>
        <v/>
      </c>
      <c r="H451" s="29"/>
      <c r="I451" s="32" t="str">
        <f aca="false">IF(OR(E451="",F451=""),"",F451*G451-N(H451))</f>
        <v/>
      </c>
      <c r="J451" s="29"/>
      <c r="K451" s="32" t="str">
        <f aca="false">IF(AND(I451="",N(J451)=0),"",N(I451)+N(J451))</f>
        <v/>
      </c>
      <c r="L451" s="32" t="str">
        <f aca="false">IF(OR(E451="",F451=""),"",F451*IFERROR(INDEX(Товары!$C$4:$C$200,MATCH(E451,Товары!$B$4:$B$200,0)),0))</f>
        <v/>
      </c>
      <c r="M451" s="32" t="str">
        <f aca="false">IF(I451="","",I451-L451)</f>
        <v/>
      </c>
      <c r="N451" s="28"/>
      <c r="O451" s="28"/>
      <c r="P451" s="28"/>
      <c r="Q451" s="28"/>
      <c r="R451" s="35"/>
      <c r="S451" s="28"/>
    </row>
    <row r="452" customFormat="false" ht="15" hidden="false" customHeight="false" outlineLevel="0" collapsed="false">
      <c r="A452" s="34" t="str">
        <f aca="false">IF(E452="","",ROW()-3)</f>
        <v/>
      </c>
      <c r="B452" s="35"/>
      <c r="C452" s="28"/>
      <c r="D452" s="28"/>
      <c r="E452" s="28"/>
      <c r="F452" s="28"/>
      <c r="G452" s="32" t="str">
        <f aca="false">IF(E452="","",IFERROR(INDEX(Товары!$D$4:$D$200,MATCH(E452,Товары!$B$4:$B$200,0)),0))</f>
        <v/>
      </c>
      <c r="H452" s="29"/>
      <c r="I452" s="32" t="str">
        <f aca="false">IF(OR(E452="",F452=""),"",F452*G452-N(H452))</f>
        <v/>
      </c>
      <c r="J452" s="29"/>
      <c r="K452" s="32" t="str">
        <f aca="false">IF(AND(I452="",N(J452)=0),"",N(I452)+N(J452))</f>
        <v/>
      </c>
      <c r="L452" s="32" t="str">
        <f aca="false">IF(OR(E452="",F452=""),"",F452*IFERROR(INDEX(Товары!$C$4:$C$200,MATCH(E452,Товары!$B$4:$B$200,0)),0))</f>
        <v/>
      </c>
      <c r="M452" s="32" t="str">
        <f aca="false">IF(I452="","",I452-L452)</f>
        <v/>
      </c>
      <c r="N452" s="28"/>
      <c r="O452" s="28"/>
      <c r="P452" s="28"/>
      <c r="Q452" s="28"/>
      <c r="R452" s="35"/>
      <c r="S452" s="28"/>
    </row>
    <row r="453" customFormat="false" ht="15" hidden="false" customHeight="false" outlineLevel="0" collapsed="false">
      <c r="A453" s="34" t="str">
        <f aca="false">IF(E453="","",ROW()-3)</f>
        <v/>
      </c>
      <c r="B453" s="35"/>
      <c r="C453" s="28"/>
      <c r="D453" s="28"/>
      <c r="E453" s="28"/>
      <c r="F453" s="28"/>
      <c r="G453" s="32" t="str">
        <f aca="false">IF(E453="","",IFERROR(INDEX(Товары!$D$4:$D$200,MATCH(E453,Товары!$B$4:$B$200,0)),0))</f>
        <v/>
      </c>
      <c r="H453" s="29"/>
      <c r="I453" s="32" t="str">
        <f aca="false">IF(OR(E453="",F453=""),"",F453*G453-N(H453))</f>
        <v/>
      </c>
      <c r="J453" s="29"/>
      <c r="K453" s="32" t="str">
        <f aca="false">IF(AND(I453="",N(J453)=0),"",N(I453)+N(J453))</f>
        <v/>
      </c>
      <c r="L453" s="32" t="str">
        <f aca="false">IF(OR(E453="",F453=""),"",F453*IFERROR(INDEX(Товары!$C$4:$C$200,MATCH(E453,Товары!$B$4:$B$200,0)),0))</f>
        <v/>
      </c>
      <c r="M453" s="32" t="str">
        <f aca="false">IF(I453="","",I453-L453)</f>
        <v/>
      </c>
      <c r="N453" s="28"/>
      <c r="O453" s="28"/>
      <c r="P453" s="28"/>
      <c r="Q453" s="28"/>
      <c r="R453" s="35"/>
      <c r="S453" s="28"/>
    </row>
    <row r="454" customFormat="false" ht="15" hidden="false" customHeight="false" outlineLevel="0" collapsed="false">
      <c r="A454" s="34" t="str">
        <f aca="false">IF(E454="","",ROW()-3)</f>
        <v/>
      </c>
      <c r="B454" s="35"/>
      <c r="C454" s="28"/>
      <c r="D454" s="28"/>
      <c r="E454" s="28"/>
      <c r="F454" s="28"/>
      <c r="G454" s="32" t="str">
        <f aca="false">IF(E454="","",IFERROR(INDEX(Товары!$D$4:$D$200,MATCH(E454,Товары!$B$4:$B$200,0)),0))</f>
        <v/>
      </c>
      <c r="H454" s="29"/>
      <c r="I454" s="32" t="str">
        <f aca="false">IF(OR(E454="",F454=""),"",F454*G454-N(H454))</f>
        <v/>
      </c>
      <c r="J454" s="29"/>
      <c r="K454" s="32" t="str">
        <f aca="false">IF(AND(I454="",N(J454)=0),"",N(I454)+N(J454))</f>
        <v/>
      </c>
      <c r="L454" s="32" t="str">
        <f aca="false">IF(OR(E454="",F454=""),"",F454*IFERROR(INDEX(Товары!$C$4:$C$200,MATCH(E454,Товары!$B$4:$B$200,0)),0))</f>
        <v/>
      </c>
      <c r="M454" s="32" t="str">
        <f aca="false">IF(I454="","",I454-L454)</f>
        <v/>
      </c>
      <c r="N454" s="28"/>
      <c r="O454" s="28"/>
      <c r="P454" s="28"/>
      <c r="Q454" s="28"/>
      <c r="R454" s="35"/>
      <c r="S454" s="28"/>
    </row>
    <row r="455" customFormat="false" ht="15" hidden="false" customHeight="false" outlineLevel="0" collapsed="false">
      <c r="A455" s="34" t="str">
        <f aca="false">IF(E455="","",ROW()-3)</f>
        <v/>
      </c>
      <c r="B455" s="35"/>
      <c r="C455" s="28"/>
      <c r="D455" s="28"/>
      <c r="E455" s="28"/>
      <c r="F455" s="28"/>
      <c r="G455" s="32" t="str">
        <f aca="false">IF(E455="","",IFERROR(INDEX(Товары!$D$4:$D$200,MATCH(E455,Товары!$B$4:$B$200,0)),0))</f>
        <v/>
      </c>
      <c r="H455" s="29"/>
      <c r="I455" s="32" t="str">
        <f aca="false">IF(OR(E455="",F455=""),"",F455*G455-N(H455))</f>
        <v/>
      </c>
      <c r="J455" s="29"/>
      <c r="K455" s="32" t="str">
        <f aca="false">IF(AND(I455="",N(J455)=0),"",N(I455)+N(J455))</f>
        <v/>
      </c>
      <c r="L455" s="32" t="str">
        <f aca="false">IF(OR(E455="",F455=""),"",F455*IFERROR(INDEX(Товары!$C$4:$C$200,MATCH(E455,Товары!$B$4:$B$200,0)),0))</f>
        <v/>
      </c>
      <c r="M455" s="32" t="str">
        <f aca="false">IF(I455="","",I455-L455)</f>
        <v/>
      </c>
      <c r="N455" s="28"/>
      <c r="O455" s="28"/>
      <c r="P455" s="28"/>
      <c r="Q455" s="28"/>
      <c r="R455" s="35"/>
      <c r="S455" s="28"/>
    </row>
    <row r="456" customFormat="false" ht="15" hidden="false" customHeight="false" outlineLevel="0" collapsed="false">
      <c r="A456" s="34" t="str">
        <f aca="false">IF(E456="","",ROW()-3)</f>
        <v/>
      </c>
      <c r="B456" s="35"/>
      <c r="C456" s="28"/>
      <c r="D456" s="28"/>
      <c r="E456" s="28"/>
      <c r="F456" s="28"/>
      <c r="G456" s="32" t="str">
        <f aca="false">IF(E456="","",IFERROR(INDEX(Товары!$D$4:$D$200,MATCH(E456,Товары!$B$4:$B$200,0)),0))</f>
        <v/>
      </c>
      <c r="H456" s="29"/>
      <c r="I456" s="32" t="str">
        <f aca="false">IF(OR(E456="",F456=""),"",F456*G456-N(H456))</f>
        <v/>
      </c>
      <c r="J456" s="29"/>
      <c r="K456" s="32" t="str">
        <f aca="false">IF(AND(I456="",N(J456)=0),"",N(I456)+N(J456))</f>
        <v/>
      </c>
      <c r="L456" s="32" t="str">
        <f aca="false">IF(OR(E456="",F456=""),"",F456*IFERROR(INDEX(Товары!$C$4:$C$200,MATCH(E456,Товары!$B$4:$B$200,0)),0))</f>
        <v/>
      </c>
      <c r="M456" s="32" t="str">
        <f aca="false">IF(I456="","",I456-L456)</f>
        <v/>
      </c>
      <c r="N456" s="28"/>
      <c r="O456" s="28"/>
      <c r="P456" s="28"/>
      <c r="Q456" s="28"/>
      <c r="R456" s="35"/>
      <c r="S456" s="28"/>
    </row>
    <row r="457" customFormat="false" ht="15" hidden="false" customHeight="false" outlineLevel="0" collapsed="false">
      <c r="A457" s="34" t="str">
        <f aca="false">IF(E457="","",ROW()-3)</f>
        <v/>
      </c>
      <c r="B457" s="35"/>
      <c r="C457" s="28"/>
      <c r="D457" s="28"/>
      <c r="E457" s="28"/>
      <c r="F457" s="28"/>
      <c r="G457" s="32" t="str">
        <f aca="false">IF(E457="","",IFERROR(INDEX(Товары!$D$4:$D$200,MATCH(E457,Товары!$B$4:$B$200,0)),0))</f>
        <v/>
      </c>
      <c r="H457" s="29"/>
      <c r="I457" s="32" t="str">
        <f aca="false">IF(OR(E457="",F457=""),"",F457*G457-N(H457))</f>
        <v/>
      </c>
      <c r="J457" s="29"/>
      <c r="K457" s="32" t="str">
        <f aca="false">IF(AND(I457="",N(J457)=0),"",N(I457)+N(J457))</f>
        <v/>
      </c>
      <c r="L457" s="32" t="str">
        <f aca="false">IF(OR(E457="",F457=""),"",F457*IFERROR(INDEX(Товары!$C$4:$C$200,MATCH(E457,Товары!$B$4:$B$200,0)),0))</f>
        <v/>
      </c>
      <c r="M457" s="32" t="str">
        <f aca="false">IF(I457="","",I457-L457)</f>
        <v/>
      </c>
      <c r="N457" s="28"/>
      <c r="O457" s="28"/>
      <c r="P457" s="28"/>
      <c r="Q457" s="28"/>
      <c r="R457" s="35"/>
      <c r="S457" s="28"/>
    </row>
    <row r="458" customFormat="false" ht="15" hidden="false" customHeight="false" outlineLevel="0" collapsed="false">
      <c r="A458" s="34" t="str">
        <f aca="false">IF(E458="","",ROW()-3)</f>
        <v/>
      </c>
      <c r="B458" s="35"/>
      <c r="C458" s="28"/>
      <c r="D458" s="28"/>
      <c r="E458" s="28"/>
      <c r="F458" s="28"/>
      <c r="G458" s="32" t="str">
        <f aca="false">IF(E458="","",IFERROR(INDEX(Товары!$D$4:$D$200,MATCH(E458,Товары!$B$4:$B$200,0)),0))</f>
        <v/>
      </c>
      <c r="H458" s="29"/>
      <c r="I458" s="32" t="str">
        <f aca="false">IF(OR(E458="",F458=""),"",F458*G458-N(H458))</f>
        <v/>
      </c>
      <c r="J458" s="29"/>
      <c r="K458" s="32" t="str">
        <f aca="false">IF(AND(I458="",N(J458)=0),"",N(I458)+N(J458))</f>
        <v/>
      </c>
      <c r="L458" s="32" t="str">
        <f aca="false">IF(OR(E458="",F458=""),"",F458*IFERROR(INDEX(Товары!$C$4:$C$200,MATCH(E458,Товары!$B$4:$B$200,0)),0))</f>
        <v/>
      </c>
      <c r="M458" s="32" t="str">
        <f aca="false">IF(I458="","",I458-L458)</f>
        <v/>
      </c>
      <c r="N458" s="28"/>
      <c r="O458" s="28"/>
      <c r="P458" s="28"/>
      <c r="Q458" s="28"/>
      <c r="R458" s="35"/>
      <c r="S458" s="28"/>
    </row>
    <row r="459" customFormat="false" ht="15" hidden="false" customHeight="false" outlineLevel="0" collapsed="false">
      <c r="A459" s="34" t="str">
        <f aca="false">IF(E459="","",ROW()-3)</f>
        <v/>
      </c>
      <c r="B459" s="35"/>
      <c r="C459" s="28"/>
      <c r="D459" s="28"/>
      <c r="E459" s="28"/>
      <c r="F459" s="28"/>
      <c r="G459" s="32" t="str">
        <f aca="false">IF(E459="","",IFERROR(INDEX(Товары!$D$4:$D$200,MATCH(E459,Товары!$B$4:$B$200,0)),0))</f>
        <v/>
      </c>
      <c r="H459" s="29"/>
      <c r="I459" s="32" t="str">
        <f aca="false">IF(OR(E459="",F459=""),"",F459*G459-N(H459))</f>
        <v/>
      </c>
      <c r="J459" s="29"/>
      <c r="K459" s="32" t="str">
        <f aca="false">IF(AND(I459="",N(J459)=0),"",N(I459)+N(J459))</f>
        <v/>
      </c>
      <c r="L459" s="32" t="str">
        <f aca="false">IF(OR(E459="",F459=""),"",F459*IFERROR(INDEX(Товары!$C$4:$C$200,MATCH(E459,Товары!$B$4:$B$200,0)),0))</f>
        <v/>
      </c>
      <c r="M459" s="32" t="str">
        <f aca="false">IF(I459="","",I459-L459)</f>
        <v/>
      </c>
      <c r="N459" s="28"/>
      <c r="O459" s="28"/>
      <c r="P459" s="28"/>
      <c r="Q459" s="28"/>
      <c r="R459" s="35"/>
      <c r="S459" s="28"/>
    </row>
    <row r="460" customFormat="false" ht="15" hidden="false" customHeight="false" outlineLevel="0" collapsed="false">
      <c r="A460" s="34" t="str">
        <f aca="false">IF(E460="","",ROW()-3)</f>
        <v/>
      </c>
      <c r="B460" s="35"/>
      <c r="C460" s="28"/>
      <c r="D460" s="28"/>
      <c r="E460" s="28"/>
      <c r="F460" s="28"/>
      <c r="G460" s="32" t="str">
        <f aca="false">IF(E460="","",IFERROR(INDEX(Товары!$D$4:$D$200,MATCH(E460,Товары!$B$4:$B$200,0)),0))</f>
        <v/>
      </c>
      <c r="H460" s="29"/>
      <c r="I460" s="32" t="str">
        <f aca="false">IF(OR(E460="",F460=""),"",F460*G460-N(H460))</f>
        <v/>
      </c>
      <c r="J460" s="29"/>
      <c r="K460" s="32" t="str">
        <f aca="false">IF(AND(I460="",N(J460)=0),"",N(I460)+N(J460))</f>
        <v/>
      </c>
      <c r="L460" s="32" t="str">
        <f aca="false">IF(OR(E460="",F460=""),"",F460*IFERROR(INDEX(Товары!$C$4:$C$200,MATCH(E460,Товары!$B$4:$B$200,0)),0))</f>
        <v/>
      </c>
      <c r="M460" s="32" t="str">
        <f aca="false">IF(I460="","",I460-L460)</f>
        <v/>
      </c>
      <c r="N460" s="28"/>
      <c r="O460" s="28"/>
      <c r="P460" s="28"/>
      <c r="Q460" s="28"/>
      <c r="R460" s="35"/>
      <c r="S460" s="28"/>
    </row>
    <row r="461" customFormat="false" ht="15" hidden="false" customHeight="false" outlineLevel="0" collapsed="false">
      <c r="A461" s="34" t="str">
        <f aca="false">IF(E461="","",ROW()-3)</f>
        <v/>
      </c>
      <c r="B461" s="35"/>
      <c r="C461" s="28"/>
      <c r="D461" s="28"/>
      <c r="E461" s="28"/>
      <c r="F461" s="28"/>
      <c r="G461" s="32" t="str">
        <f aca="false">IF(E461="","",IFERROR(INDEX(Товары!$D$4:$D$200,MATCH(E461,Товары!$B$4:$B$200,0)),0))</f>
        <v/>
      </c>
      <c r="H461" s="29"/>
      <c r="I461" s="32" t="str">
        <f aca="false">IF(OR(E461="",F461=""),"",F461*G461-N(H461))</f>
        <v/>
      </c>
      <c r="J461" s="29"/>
      <c r="K461" s="32" t="str">
        <f aca="false">IF(AND(I461="",N(J461)=0),"",N(I461)+N(J461))</f>
        <v/>
      </c>
      <c r="L461" s="32" t="str">
        <f aca="false">IF(OR(E461="",F461=""),"",F461*IFERROR(INDEX(Товары!$C$4:$C$200,MATCH(E461,Товары!$B$4:$B$200,0)),0))</f>
        <v/>
      </c>
      <c r="M461" s="32" t="str">
        <f aca="false">IF(I461="","",I461-L461)</f>
        <v/>
      </c>
      <c r="N461" s="28"/>
      <c r="O461" s="28"/>
      <c r="P461" s="28"/>
      <c r="Q461" s="28"/>
      <c r="R461" s="35"/>
      <c r="S461" s="28"/>
    </row>
    <row r="462" customFormat="false" ht="15" hidden="false" customHeight="false" outlineLevel="0" collapsed="false">
      <c r="A462" s="34" t="str">
        <f aca="false">IF(E462="","",ROW()-3)</f>
        <v/>
      </c>
      <c r="B462" s="35"/>
      <c r="C462" s="28"/>
      <c r="D462" s="28"/>
      <c r="E462" s="28"/>
      <c r="F462" s="28"/>
      <c r="G462" s="32" t="str">
        <f aca="false">IF(E462="","",IFERROR(INDEX(Товары!$D$4:$D$200,MATCH(E462,Товары!$B$4:$B$200,0)),0))</f>
        <v/>
      </c>
      <c r="H462" s="29"/>
      <c r="I462" s="32" t="str">
        <f aca="false">IF(OR(E462="",F462=""),"",F462*G462-N(H462))</f>
        <v/>
      </c>
      <c r="J462" s="29"/>
      <c r="K462" s="32" t="str">
        <f aca="false">IF(AND(I462="",N(J462)=0),"",N(I462)+N(J462))</f>
        <v/>
      </c>
      <c r="L462" s="32" t="str">
        <f aca="false">IF(OR(E462="",F462=""),"",F462*IFERROR(INDEX(Товары!$C$4:$C$200,MATCH(E462,Товары!$B$4:$B$200,0)),0))</f>
        <v/>
      </c>
      <c r="M462" s="32" t="str">
        <f aca="false">IF(I462="","",I462-L462)</f>
        <v/>
      </c>
      <c r="N462" s="28"/>
      <c r="O462" s="28"/>
      <c r="P462" s="28"/>
      <c r="Q462" s="28"/>
      <c r="R462" s="35"/>
      <c r="S462" s="28"/>
    </row>
    <row r="463" customFormat="false" ht="15" hidden="false" customHeight="false" outlineLevel="0" collapsed="false">
      <c r="A463" s="34" t="str">
        <f aca="false">IF(E463="","",ROW()-3)</f>
        <v/>
      </c>
      <c r="B463" s="35"/>
      <c r="C463" s="28"/>
      <c r="D463" s="28"/>
      <c r="E463" s="28"/>
      <c r="F463" s="28"/>
      <c r="G463" s="32" t="str">
        <f aca="false">IF(E463="","",IFERROR(INDEX(Товары!$D$4:$D$200,MATCH(E463,Товары!$B$4:$B$200,0)),0))</f>
        <v/>
      </c>
      <c r="H463" s="29"/>
      <c r="I463" s="32" t="str">
        <f aca="false">IF(OR(E463="",F463=""),"",F463*G463-N(H463))</f>
        <v/>
      </c>
      <c r="J463" s="29"/>
      <c r="K463" s="32" t="str">
        <f aca="false">IF(AND(I463="",N(J463)=0),"",N(I463)+N(J463))</f>
        <v/>
      </c>
      <c r="L463" s="32" t="str">
        <f aca="false">IF(OR(E463="",F463=""),"",F463*IFERROR(INDEX(Товары!$C$4:$C$200,MATCH(E463,Товары!$B$4:$B$200,0)),0))</f>
        <v/>
      </c>
      <c r="M463" s="32" t="str">
        <f aca="false">IF(I463="","",I463-L463)</f>
        <v/>
      </c>
      <c r="N463" s="28"/>
      <c r="O463" s="28"/>
      <c r="P463" s="28"/>
      <c r="Q463" s="28"/>
      <c r="R463" s="35"/>
      <c r="S463" s="28"/>
    </row>
    <row r="464" customFormat="false" ht="15" hidden="false" customHeight="false" outlineLevel="0" collapsed="false">
      <c r="A464" s="34" t="str">
        <f aca="false">IF(E464="","",ROW()-3)</f>
        <v/>
      </c>
      <c r="B464" s="35"/>
      <c r="C464" s="28"/>
      <c r="D464" s="28"/>
      <c r="E464" s="28"/>
      <c r="F464" s="28"/>
      <c r="G464" s="32" t="str">
        <f aca="false">IF(E464="","",IFERROR(INDEX(Товары!$D$4:$D$200,MATCH(E464,Товары!$B$4:$B$200,0)),0))</f>
        <v/>
      </c>
      <c r="H464" s="29"/>
      <c r="I464" s="32" t="str">
        <f aca="false">IF(OR(E464="",F464=""),"",F464*G464-N(H464))</f>
        <v/>
      </c>
      <c r="J464" s="29"/>
      <c r="K464" s="32" t="str">
        <f aca="false">IF(AND(I464="",N(J464)=0),"",N(I464)+N(J464))</f>
        <v/>
      </c>
      <c r="L464" s="32" t="str">
        <f aca="false">IF(OR(E464="",F464=""),"",F464*IFERROR(INDEX(Товары!$C$4:$C$200,MATCH(E464,Товары!$B$4:$B$200,0)),0))</f>
        <v/>
      </c>
      <c r="M464" s="32" t="str">
        <f aca="false">IF(I464="","",I464-L464)</f>
        <v/>
      </c>
      <c r="N464" s="28"/>
      <c r="O464" s="28"/>
      <c r="P464" s="28"/>
      <c r="Q464" s="28"/>
      <c r="R464" s="35"/>
      <c r="S464" s="28"/>
    </row>
    <row r="465" customFormat="false" ht="15" hidden="false" customHeight="false" outlineLevel="0" collapsed="false">
      <c r="A465" s="34" t="str">
        <f aca="false">IF(E465="","",ROW()-3)</f>
        <v/>
      </c>
      <c r="B465" s="35"/>
      <c r="C465" s="28"/>
      <c r="D465" s="28"/>
      <c r="E465" s="28"/>
      <c r="F465" s="28"/>
      <c r="G465" s="32" t="str">
        <f aca="false">IF(E465="","",IFERROR(INDEX(Товары!$D$4:$D$200,MATCH(E465,Товары!$B$4:$B$200,0)),0))</f>
        <v/>
      </c>
      <c r="H465" s="29"/>
      <c r="I465" s="32" t="str">
        <f aca="false">IF(OR(E465="",F465=""),"",F465*G465-N(H465))</f>
        <v/>
      </c>
      <c r="J465" s="29"/>
      <c r="K465" s="32" t="str">
        <f aca="false">IF(AND(I465="",N(J465)=0),"",N(I465)+N(J465))</f>
        <v/>
      </c>
      <c r="L465" s="32" t="str">
        <f aca="false">IF(OR(E465="",F465=""),"",F465*IFERROR(INDEX(Товары!$C$4:$C$200,MATCH(E465,Товары!$B$4:$B$200,0)),0))</f>
        <v/>
      </c>
      <c r="M465" s="32" t="str">
        <f aca="false">IF(I465="","",I465-L465)</f>
        <v/>
      </c>
      <c r="N465" s="28"/>
      <c r="O465" s="28"/>
      <c r="P465" s="28"/>
      <c r="Q465" s="28"/>
      <c r="R465" s="35"/>
      <c r="S465" s="28"/>
    </row>
    <row r="466" customFormat="false" ht="15" hidden="false" customHeight="false" outlineLevel="0" collapsed="false">
      <c r="A466" s="34" t="str">
        <f aca="false">IF(E466="","",ROW()-3)</f>
        <v/>
      </c>
      <c r="B466" s="35"/>
      <c r="C466" s="28"/>
      <c r="D466" s="28"/>
      <c r="E466" s="28"/>
      <c r="F466" s="28"/>
      <c r="G466" s="32" t="str">
        <f aca="false">IF(E466="","",IFERROR(INDEX(Товары!$D$4:$D$200,MATCH(E466,Товары!$B$4:$B$200,0)),0))</f>
        <v/>
      </c>
      <c r="H466" s="29"/>
      <c r="I466" s="32" t="str">
        <f aca="false">IF(OR(E466="",F466=""),"",F466*G466-N(H466))</f>
        <v/>
      </c>
      <c r="J466" s="29"/>
      <c r="K466" s="32" t="str">
        <f aca="false">IF(AND(I466="",N(J466)=0),"",N(I466)+N(J466))</f>
        <v/>
      </c>
      <c r="L466" s="32" t="str">
        <f aca="false">IF(OR(E466="",F466=""),"",F466*IFERROR(INDEX(Товары!$C$4:$C$200,MATCH(E466,Товары!$B$4:$B$200,0)),0))</f>
        <v/>
      </c>
      <c r="M466" s="32" t="str">
        <f aca="false">IF(I466="","",I466-L466)</f>
        <v/>
      </c>
      <c r="N466" s="28"/>
      <c r="O466" s="28"/>
      <c r="P466" s="28"/>
      <c r="Q466" s="28"/>
      <c r="R466" s="35"/>
      <c r="S466" s="28"/>
    </row>
    <row r="467" customFormat="false" ht="15" hidden="false" customHeight="false" outlineLevel="0" collapsed="false">
      <c r="A467" s="34" t="str">
        <f aca="false">IF(E467="","",ROW()-3)</f>
        <v/>
      </c>
      <c r="B467" s="35"/>
      <c r="C467" s="28"/>
      <c r="D467" s="28"/>
      <c r="E467" s="28"/>
      <c r="F467" s="28"/>
      <c r="G467" s="32" t="str">
        <f aca="false">IF(E467="","",IFERROR(INDEX(Товары!$D$4:$D$200,MATCH(E467,Товары!$B$4:$B$200,0)),0))</f>
        <v/>
      </c>
      <c r="H467" s="29"/>
      <c r="I467" s="32" t="str">
        <f aca="false">IF(OR(E467="",F467=""),"",F467*G467-N(H467))</f>
        <v/>
      </c>
      <c r="J467" s="29"/>
      <c r="K467" s="32" t="str">
        <f aca="false">IF(AND(I467="",N(J467)=0),"",N(I467)+N(J467))</f>
        <v/>
      </c>
      <c r="L467" s="32" t="str">
        <f aca="false">IF(OR(E467="",F467=""),"",F467*IFERROR(INDEX(Товары!$C$4:$C$200,MATCH(E467,Товары!$B$4:$B$200,0)),0))</f>
        <v/>
      </c>
      <c r="M467" s="32" t="str">
        <f aca="false">IF(I467="","",I467-L467)</f>
        <v/>
      </c>
      <c r="N467" s="28"/>
      <c r="O467" s="28"/>
      <c r="P467" s="28"/>
      <c r="Q467" s="28"/>
      <c r="R467" s="35"/>
      <c r="S467" s="28"/>
    </row>
    <row r="468" customFormat="false" ht="15" hidden="false" customHeight="false" outlineLevel="0" collapsed="false">
      <c r="A468" s="34" t="str">
        <f aca="false">IF(E468="","",ROW()-3)</f>
        <v/>
      </c>
      <c r="B468" s="35"/>
      <c r="C468" s="28"/>
      <c r="D468" s="28"/>
      <c r="E468" s="28"/>
      <c r="F468" s="28"/>
      <c r="G468" s="32" t="str">
        <f aca="false">IF(E468="","",IFERROR(INDEX(Товары!$D$4:$D$200,MATCH(E468,Товары!$B$4:$B$200,0)),0))</f>
        <v/>
      </c>
      <c r="H468" s="29"/>
      <c r="I468" s="32" t="str">
        <f aca="false">IF(OR(E468="",F468=""),"",F468*G468-N(H468))</f>
        <v/>
      </c>
      <c r="J468" s="29"/>
      <c r="K468" s="32" t="str">
        <f aca="false">IF(AND(I468="",N(J468)=0),"",N(I468)+N(J468))</f>
        <v/>
      </c>
      <c r="L468" s="32" t="str">
        <f aca="false">IF(OR(E468="",F468=""),"",F468*IFERROR(INDEX(Товары!$C$4:$C$200,MATCH(E468,Товары!$B$4:$B$200,0)),0))</f>
        <v/>
      </c>
      <c r="M468" s="32" t="str">
        <f aca="false">IF(I468="","",I468-L468)</f>
        <v/>
      </c>
      <c r="N468" s="28"/>
      <c r="O468" s="28"/>
      <c r="P468" s="28"/>
      <c r="Q468" s="28"/>
      <c r="R468" s="35"/>
      <c r="S468" s="28"/>
    </row>
    <row r="469" customFormat="false" ht="15" hidden="false" customHeight="false" outlineLevel="0" collapsed="false">
      <c r="A469" s="34" t="str">
        <f aca="false">IF(E469="","",ROW()-3)</f>
        <v/>
      </c>
      <c r="B469" s="35"/>
      <c r="C469" s="28"/>
      <c r="D469" s="28"/>
      <c r="E469" s="28"/>
      <c r="F469" s="28"/>
      <c r="G469" s="32" t="str">
        <f aca="false">IF(E469="","",IFERROR(INDEX(Товары!$D$4:$D$200,MATCH(E469,Товары!$B$4:$B$200,0)),0))</f>
        <v/>
      </c>
      <c r="H469" s="29"/>
      <c r="I469" s="32" t="str">
        <f aca="false">IF(OR(E469="",F469=""),"",F469*G469-N(H469))</f>
        <v/>
      </c>
      <c r="J469" s="29"/>
      <c r="K469" s="32" t="str">
        <f aca="false">IF(AND(I469="",N(J469)=0),"",N(I469)+N(J469))</f>
        <v/>
      </c>
      <c r="L469" s="32" t="str">
        <f aca="false">IF(OR(E469="",F469=""),"",F469*IFERROR(INDEX(Товары!$C$4:$C$200,MATCH(E469,Товары!$B$4:$B$200,0)),0))</f>
        <v/>
      </c>
      <c r="M469" s="32" t="str">
        <f aca="false">IF(I469="","",I469-L469)</f>
        <v/>
      </c>
      <c r="N469" s="28"/>
      <c r="O469" s="28"/>
      <c r="P469" s="28"/>
      <c r="Q469" s="28"/>
      <c r="R469" s="35"/>
      <c r="S469" s="28"/>
    </row>
    <row r="470" customFormat="false" ht="15" hidden="false" customHeight="false" outlineLevel="0" collapsed="false">
      <c r="A470" s="34" t="str">
        <f aca="false">IF(E470="","",ROW()-3)</f>
        <v/>
      </c>
      <c r="B470" s="35"/>
      <c r="C470" s="28"/>
      <c r="D470" s="28"/>
      <c r="E470" s="28"/>
      <c r="F470" s="28"/>
      <c r="G470" s="32" t="str">
        <f aca="false">IF(E470="","",IFERROR(INDEX(Товары!$D$4:$D$200,MATCH(E470,Товары!$B$4:$B$200,0)),0))</f>
        <v/>
      </c>
      <c r="H470" s="29"/>
      <c r="I470" s="32" t="str">
        <f aca="false">IF(OR(E470="",F470=""),"",F470*G470-N(H470))</f>
        <v/>
      </c>
      <c r="J470" s="29"/>
      <c r="K470" s="32" t="str">
        <f aca="false">IF(AND(I470="",N(J470)=0),"",N(I470)+N(J470))</f>
        <v/>
      </c>
      <c r="L470" s="32" t="str">
        <f aca="false">IF(OR(E470="",F470=""),"",F470*IFERROR(INDEX(Товары!$C$4:$C$200,MATCH(E470,Товары!$B$4:$B$200,0)),0))</f>
        <v/>
      </c>
      <c r="M470" s="32" t="str">
        <f aca="false">IF(I470="","",I470-L470)</f>
        <v/>
      </c>
      <c r="N470" s="28"/>
      <c r="O470" s="28"/>
      <c r="P470" s="28"/>
      <c r="Q470" s="28"/>
      <c r="R470" s="35"/>
      <c r="S470" s="28"/>
    </row>
    <row r="471" customFormat="false" ht="15" hidden="false" customHeight="false" outlineLevel="0" collapsed="false">
      <c r="A471" s="34" t="str">
        <f aca="false">IF(E471="","",ROW()-3)</f>
        <v/>
      </c>
      <c r="B471" s="35"/>
      <c r="C471" s="28"/>
      <c r="D471" s="28"/>
      <c r="E471" s="28"/>
      <c r="F471" s="28"/>
      <c r="G471" s="32" t="str">
        <f aca="false">IF(E471="","",IFERROR(INDEX(Товары!$D$4:$D$200,MATCH(E471,Товары!$B$4:$B$200,0)),0))</f>
        <v/>
      </c>
      <c r="H471" s="29"/>
      <c r="I471" s="32" t="str">
        <f aca="false">IF(OR(E471="",F471=""),"",F471*G471-N(H471))</f>
        <v/>
      </c>
      <c r="J471" s="29"/>
      <c r="K471" s="32" t="str">
        <f aca="false">IF(AND(I471="",N(J471)=0),"",N(I471)+N(J471))</f>
        <v/>
      </c>
      <c r="L471" s="32" t="str">
        <f aca="false">IF(OR(E471="",F471=""),"",F471*IFERROR(INDEX(Товары!$C$4:$C$200,MATCH(E471,Товары!$B$4:$B$200,0)),0))</f>
        <v/>
      </c>
      <c r="M471" s="32" t="str">
        <f aca="false">IF(I471="","",I471-L471)</f>
        <v/>
      </c>
      <c r="N471" s="28"/>
      <c r="O471" s="28"/>
      <c r="P471" s="28"/>
      <c r="Q471" s="28"/>
      <c r="R471" s="35"/>
      <c r="S471" s="28"/>
    </row>
    <row r="472" customFormat="false" ht="15" hidden="false" customHeight="false" outlineLevel="0" collapsed="false">
      <c r="A472" s="34" t="str">
        <f aca="false">IF(E472="","",ROW()-3)</f>
        <v/>
      </c>
      <c r="B472" s="35"/>
      <c r="C472" s="28"/>
      <c r="D472" s="28"/>
      <c r="E472" s="28"/>
      <c r="F472" s="28"/>
      <c r="G472" s="32" t="str">
        <f aca="false">IF(E472="","",IFERROR(INDEX(Товары!$D$4:$D$200,MATCH(E472,Товары!$B$4:$B$200,0)),0))</f>
        <v/>
      </c>
      <c r="H472" s="29"/>
      <c r="I472" s="32" t="str">
        <f aca="false">IF(OR(E472="",F472=""),"",F472*G472-N(H472))</f>
        <v/>
      </c>
      <c r="J472" s="29"/>
      <c r="K472" s="32" t="str">
        <f aca="false">IF(AND(I472="",N(J472)=0),"",N(I472)+N(J472))</f>
        <v/>
      </c>
      <c r="L472" s="32" t="str">
        <f aca="false">IF(OR(E472="",F472=""),"",F472*IFERROR(INDEX(Товары!$C$4:$C$200,MATCH(E472,Товары!$B$4:$B$200,0)),0))</f>
        <v/>
      </c>
      <c r="M472" s="32" t="str">
        <f aca="false">IF(I472="","",I472-L472)</f>
        <v/>
      </c>
      <c r="N472" s="28"/>
      <c r="O472" s="28"/>
      <c r="P472" s="28"/>
      <c r="Q472" s="28"/>
      <c r="R472" s="35"/>
      <c r="S472" s="28"/>
    </row>
    <row r="473" customFormat="false" ht="15" hidden="false" customHeight="false" outlineLevel="0" collapsed="false">
      <c r="A473" s="34" t="str">
        <f aca="false">IF(E473="","",ROW()-3)</f>
        <v/>
      </c>
      <c r="B473" s="35"/>
      <c r="C473" s="28"/>
      <c r="D473" s="28"/>
      <c r="E473" s="28"/>
      <c r="F473" s="28"/>
      <c r="G473" s="32" t="str">
        <f aca="false">IF(E473="","",IFERROR(INDEX(Товары!$D$4:$D$200,MATCH(E473,Товары!$B$4:$B$200,0)),0))</f>
        <v/>
      </c>
      <c r="H473" s="29"/>
      <c r="I473" s="32" t="str">
        <f aca="false">IF(OR(E473="",F473=""),"",F473*G473-N(H473))</f>
        <v/>
      </c>
      <c r="J473" s="29"/>
      <c r="K473" s="32" t="str">
        <f aca="false">IF(AND(I473="",N(J473)=0),"",N(I473)+N(J473))</f>
        <v/>
      </c>
      <c r="L473" s="32" t="str">
        <f aca="false">IF(OR(E473="",F473=""),"",F473*IFERROR(INDEX(Товары!$C$4:$C$200,MATCH(E473,Товары!$B$4:$B$200,0)),0))</f>
        <v/>
      </c>
      <c r="M473" s="32" t="str">
        <f aca="false">IF(I473="","",I473-L473)</f>
        <v/>
      </c>
      <c r="N473" s="28"/>
      <c r="O473" s="28"/>
      <c r="P473" s="28"/>
      <c r="Q473" s="28"/>
      <c r="R473" s="35"/>
      <c r="S473" s="28"/>
    </row>
    <row r="474" customFormat="false" ht="15" hidden="false" customHeight="false" outlineLevel="0" collapsed="false">
      <c r="A474" s="34" t="str">
        <f aca="false">IF(E474="","",ROW()-3)</f>
        <v/>
      </c>
      <c r="B474" s="35"/>
      <c r="C474" s="28"/>
      <c r="D474" s="28"/>
      <c r="E474" s="28"/>
      <c r="F474" s="28"/>
      <c r="G474" s="32" t="str">
        <f aca="false">IF(E474="","",IFERROR(INDEX(Товары!$D$4:$D$200,MATCH(E474,Товары!$B$4:$B$200,0)),0))</f>
        <v/>
      </c>
      <c r="H474" s="29"/>
      <c r="I474" s="32" t="str">
        <f aca="false">IF(OR(E474="",F474=""),"",F474*G474-N(H474))</f>
        <v/>
      </c>
      <c r="J474" s="29"/>
      <c r="K474" s="32" t="str">
        <f aca="false">IF(AND(I474="",N(J474)=0),"",N(I474)+N(J474))</f>
        <v/>
      </c>
      <c r="L474" s="32" t="str">
        <f aca="false">IF(OR(E474="",F474=""),"",F474*IFERROR(INDEX(Товары!$C$4:$C$200,MATCH(E474,Товары!$B$4:$B$200,0)),0))</f>
        <v/>
      </c>
      <c r="M474" s="32" t="str">
        <f aca="false">IF(I474="","",I474-L474)</f>
        <v/>
      </c>
      <c r="N474" s="28"/>
      <c r="O474" s="28"/>
      <c r="P474" s="28"/>
      <c r="Q474" s="28"/>
      <c r="R474" s="35"/>
      <c r="S474" s="28"/>
    </row>
    <row r="475" customFormat="false" ht="15" hidden="false" customHeight="false" outlineLevel="0" collapsed="false">
      <c r="A475" s="34" t="str">
        <f aca="false">IF(E475="","",ROW()-3)</f>
        <v/>
      </c>
      <c r="B475" s="35"/>
      <c r="C475" s="28"/>
      <c r="D475" s="28"/>
      <c r="E475" s="28"/>
      <c r="F475" s="28"/>
      <c r="G475" s="32" t="str">
        <f aca="false">IF(E475="","",IFERROR(INDEX(Товары!$D$4:$D$200,MATCH(E475,Товары!$B$4:$B$200,0)),0))</f>
        <v/>
      </c>
      <c r="H475" s="29"/>
      <c r="I475" s="32" t="str">
        <f aca="false">IF(OR(E475="",F475=""),"",F475*G475-N(H475))</f>
        <v/>
      </c>
      <c r="J475" s="29"/>
      <c r="K475" s="32" t="str">
        <f aca="false">IF(AND(I475="",N(J475)=0),"",N(I475)+N(J475))</f>
        <v/>
      </c>
      <c r="L475" s="32" t="str">
        <f aca="false">IF(OR(E475="",F475=""),"",F475*IFERROR(INDEX(Товары!$C$4:$C$200,MATCH(E475,Товары!$B$4:$B$200,0)),0))</f>
        <v/>
      </c>
      <c r="M475" s="32" t="str">
        <f aca="false">IF(I475="","",I475-L475)</f>
        <v/>
      </c>
      <c r="N475" s="28"/>
      <c r="O475" s="28"/>
      <c r="P475" s="28"/>
      <c r="Q475" s="28"/>
      <c r="R475" s="35"/>
      <c r="S475" s="28"/>
    </row>
    <row r="476" customFormat="false" ht="15" hidden="false" customHeight="false" outlineLevel="0" collapsed="false">
      <c r="A476" s="34" t="str">
        <f aca="false">IF(E476="","",ROW()-3)</f>
        <v/>
      </c>
      <c r="B476" s="35"/>
      <c r="C476" s="28"/>
      <c r="D476" s="28"/>
      <c r="E476" s="28"/>
      <c r="F476" s="28"/>
      <c r="G476" s="32" t="str">
        <f aca="false">IF(E476="","",IFERROR(INDEX(Товары!$D$4:$D$200,MATCH(E476,Товары!$B$4:$B$200,0)),0))</f>
        <v/>
      </c>
      <c r="H476" s="29"/>
      <c r="I476" s="32" t="str">
        <f aca="false">IF(OR(E476="",F476=""),"",F476*G476-N(H476))</f>
        <v/>
      </c>
      <c r="J476" s="29"/>
      <c r="K476" s="32" t="str">
        <f aca="false">IF(AND(I476="",N(J476)=0),"",N(I476)+N(J476))</f>
        <v/>
      </c>
      <c r="L476" s="32" t="str">
        <f aca="false">IF(OR(E476="",F476=""),"",F476*IFERROR(INDEX(Товары!$C$4:$C$200,MATCH(E476,Товары!$B$4:$B$200,0)),0))</f>
        <v/>
      </c>
      <c r="M476" s="32" t="str">
        <f aca="false">IF(I476="","",I476-L476)</f>
        <v/>
      </c>
      <c r="N476" s="28"/>
      <c r="O476" s="28"/>
      <c r="P476" s="28"/>
      <c r="Q476" s="28"/>
      <c r="R476" s="35"/>
      <c r="S476" s="28"/>
    </row>
    <row r="477" customFormat="false" ht="15" hidden="false" customHeight="false" outlineLevel="0" collapsed="false">
      <c r="A477" s="34" t="str">
        <f aca="false">IF(E477="","",ROW()-3)</f>
        <v/>
      </c>
      <c r="B477" s="35"/>
      <c r="C477" s="28"/>
      <c r="D477" s="28"/>
      <c r="E477" s="28"/>
      <c r="F477" s="28"/>
      <c r="G477" s="32" t="str">
        <f aca="false">IF(E477="","",IFERROR(INDEX(Товары!$D$4:$D$200,MATCH(E477,Товары!$B$4:$B$200,0)),0))</f>
        <v/>
      </c>
      <c r="H477" s="29"/>
      <c r="I477" s="32" t="str">
        <f aca="false">IF(OR(E477="",F477=""),"",F477*G477-N(H477))</f>
        <v/>
      </c>
      <c r="J477" s="29"/>
      <c r="K477" s="32" t="str">
        <f aca="false">IF(AND(I477="",N(J477)=0),"",N(I477)+N(J477))</f>
        <v/>
      </c>
      <c r="L477" s="32" t="str">
        <f aca="false">IF(OR(E477="",F477=""),"",F477*IFERROR(INDEX(Товары!$C$4:$C$200,MATCH(E477,Товары!$B$4:$B$200,0)),0))</f>
        <v/>
      </c>
      <c r="M477" s="32" t="str">
        <f aca="false">IF(I477="","",I477-L477)</f>
        <v/>
      </c>
      <c r="N477" s="28"/>
      <c r="O477" s="28"/>
      <c r="P477" s="28"/>
      <c r="Q477" s="28"/>
      <c r="R477" s="35"/>
      <c r="S477" s="28"/>
    </row>
    <row r="478" customFormat="false" ht="15" hidden="false" customHeight="false" outlineLevel="0" collapsed="false">
      <c r="A478" s="34" t="str">
        <f aca="false">IF(E478="","",ROW()-3)</f>
        <v/>
      </c>
      <c r="B478" s="35"/>
      <c r="C478" s="28"/>
      <c r="D478" s="28"/>
      <c r="E478" s="28"/>
      <c r="F478" s="28"/>
      <c r="G478" s="32" t="str">
        <f aca="false">IF(E478="","",IFERROR(INDEX(Товары!$D$4:$D$200,MATCH(E478,Товары!$B$4:$B$200,0)),0))</f>
        <v/>
      </c>
      <c r="H478" s="29"/>
      <c r="I478" s="32" t="str">
        <f aca="false">IF(OR(E478="",F478=""),"",F478*G478-N(H478))</f>
        <v/>
      </c>
      <c r="J478" s="29"/>
      <c r="K478" s="32" t="str">
        <f aca="false">IF(AND(I478="",N(J478)=0),"",N(I478)+N(J478))</f>
        <v/>
      </c>
      <c r="L478" s="32" t="str">
        <f aca="false">IF(OR(E478="",F478=""),"",F478*IFERROR(INDEX(Товары!$C$4:$C$200,MATCH(E478,Товары!$B$4:$B$200,0)),0))</f>
        <v/>
      </c>
      <c r="M478" s="32" t="str">
        <f aca="false">IF(I478="","",I478-L478)</f>
        <v/>
      </c>
      <c r="N478" s="28"/>
      <c r="O478" s="28"/>
      <c r="P478" s="28"/>
      <c r="Q478" s="28"/>
      <c r="R478" s="35"/>
      <c r="S478" s="28"/>
    </row>
    <row r="479" customFormat="false" ht="15" hidden="false" customHeight="false" outlineLevel="0" collapsed="false">
      <c r="A479" s="34" t="str">
        <f aca="false">IF(E479="","",ROW()-3)</f>
        <v/>
      </c>
      <c r="B479" s="35"/>
      <c r="C479" s="28"/>
      <c r="D479" s="28"/>
      <c r="E479" s="28"/>
      <c r="F479" s="28"/>
      <c r="G479" s="32" t="str">
        <f aca="false">IF(E479="","",IFERROR(INDEX(Товары!$D$4:$D$200,MATCH(E479,Товары!$B$4:$B$200,0)),0))</f>
        <v/>
      </c>
      <c r="H479" s="29"/>
      <c r="I479" s="32" t="str">
        <f aca="false">IF(OR(E479="",F479=""),"",F479*G479-N(H479))</f>
        <v/>
      </c>
      <c r="J479" s="29"/>
      <c r="K479" s="32" t="str">
        <f aca="false">IF(AND(I479="",N(J479)=0),"",N(I479)+N(J479))</f>
        <v/>
      </c>
      <c r="L479" s="32" t="str">
        <f aca="false">IF(OR(E479="",F479=""),"",F479*IFERROR(INDEX(Товары!$C$4:$C$200,MATCH(E479,Товары!$B$4:$B$200,0)),0))</f>
        <v/>
      </c>
      <c r="M479" s="32" t="str">
        <f aca="false">IF(I479="","",I479-L479)</f>
        <v/>
      </c>
      <c r="N479" s="28"/>
      <c r="O479" s="28"/>
      <c r="P479" s="28"/>
      <c r="Q479" s="28"/>
      <c r="R479" s="35"/>
      <c r="S479" s="28"/>
    </row>
    <row r="480" customFormat="false" ht="15" hidden="false" customHeight="false" outlineLevel="0" collapsed="false">
      <c r="A480" s="34" t="str">
        <f aca="false">IF(E480="","",ROW()-3)</f>
        <v/>
      </c>
      <c r="B480" s="35"/>
      <c r="C480" s="28"/>
      <c r="D480" s="28"/>
      <c r="E480" s="28"/>
      <c r="F480" s="28"/>
      <c r="G480" s="32" t="str">
        <f aca="false">IF(E480="","",IFERROR(INDEX(Товары!$D$4:$D$200,MATCH(E480,Товары!$B$4:$B$200,0)),0))</f>
        <v/>
      </c>
      <c r="H480" s="29"/>
      <c r="I480" s="32" t="str">
        <f aca="false">IF(OR(E480="",F480=""),"",F480*G480-N(H480))</f>
        <v/>
      </c>
      <c r="J480" s="29"/>
      <c r="K480" s="32" t="str">
        <f aca="false">IF(AND(I480="",N(J480)=0),"",N(I480)+N(J480))</f>
        <v/>
      </c>
      <c r="L480" s="32" t="str">
        <f aca="false">IF(OR(E480="",F480=""),"",F480*IFERROR(INDEX(Товары!$C$4:$C$200,MATCH(E480,Товары!$B$4:$B$200,0)),0))</f>
        <v/>
      </c>
      <c r="M480" s="32" t="str">
        <f aca="false">IF(I480="","",I480-L480)</f>
        <v/>
      </c>
      <c r="N480" s="28"/>
      <c r="O480" s="28"/>
      <c r="P480" s="28"/>
      <c r="Q480" s="28"/>
      <c r="R480" s="35"/>
      <c r="S480" s="28"/>
    </row>
    <row r="481" customFormat="false" ht="15" hidden="false" customHeight="false" outlineLevel="0" collapsed="false">
      <c r="A481" s="34" t="str">
        <f aca="false">IF(E481="","",ROW()-3)</f>
        <v/>
      </c>
      <c r="B481" s="35"/>
      <c r="C481" s="28"/>
      <c r="D481" s="28"/>
      <c r="E481" s="28"/>
      <c r="F481" s="28"/>
      <c r="G481" s="32" t="str">
        <f aca="false">IF(E481="","",IFERROR(INDEX(Товары!$D$4:$D$200,MATCH(E481,Товары!$B$4:$B$200,0)),0))</f>
        <v/>
      </c>
      <c r="H481" s="29"/>
      <c r="I481" s="32" t="str">
        <f aca="false">IF(OR(E481="",F481=""),"",F481*G481-N(H481))</f>
        <v/>
      </c>
      <c r="J481" s="29"/>
      <c r="K481" s="32" t="str">
        <f aca="false">IF(AND(I481="",N(J481)=0),"",N(I481)+N(J481))</f>
        <v/>
      </c>
      <c r="L481" s="32" t="str">
        <f aca="false">IF(OR(E481="",F481=""),"",F481*IFERROR(INDEX(Товары!$C$4:$C$200,MATCH(E481,Товары!$B$4:$B$200,0)),0))</f>
        <v/>
      </c>
      <c r="M481" s="32" t="str">
        <f aca="false">IF(I481="","",I481-L481)</f>
        <v/>
      </c>
      <c r="N481" s="28"/>
      <c r="O481" s="28"/>
      <c r="P481" s="28"/>
      <c r="Q481" s="28"/>
      <c r="R481" s="35"/>
      <c r="S481" s="28"/>
    </row>
    <row r="482" customFormat="false" ht="15" hidden="false" customHeight="false" outlineLevel="0" collapsed="false">
      <c r="A482" s="34" t="str">
        <f aca="false">IF(E482="","",ROW()-3)</f>
        <v/>
      </c>
      <c r="B482" s="35"/>
      <c r="C482" s="28"/>
      <c r="D482" s="28"/>
      <c r="E482" s="28"/>
      <c r="F482" s="28"/>
      <c r="G482" s="32" t="str">
        <f aca="false">IF(E482="","",IFERROR(INDEX(Товары!$D$4:$D$200,MATCH(E482,Товары!$B$4:$B$200,0)),0))</f>
        <v/>
      </c>
      <c r="H482" s="29"/>
      <c r="I482" s="32" t="str">
        <f aca="false">IF(OR(E482="",F482=""),"",F482*G482-N(H482))</f>
        <v/>
      </c>
      <c r="J482" s="29"/>
      <c r="K482" s="32" t="str">
        <f aca="false">IF(AND(I482="",N(J482)=0),"",N(I482)+N(J482))</f>
        <v/>
      </c>
      <c r="L482" s="32" t="str">
        <f aca="false">IF(OR(E482="",F482=""),"",F482*IFERROR(INDEX(Товары!$C$4:$C$200,MATCH(E482,Товары!$B$4:$B$200,0)),0))</f>
        <v/>
      </c>
      <c r="M482" s="32" t="str">
        <f aca="false">IF(I482="","",I482-L482)</f>
        <v/>
      </c>
      <c r="N482" s="28"/>
      <c r="O482" s="28"/>
      <c r="P482" s="28"/>
      <c r="Q482" s="28"/>
      <c r="R482" s="35"/>
      <c r="S482" s="28"/>
    </row>
    <row r="483" customFormat="false" ht="15" hidden="false" customHeight="false" outlineLevel="0" collapsed="false">
      <c r="A483" s="34" t="str">
        <f aca="false">IF(E483="","",ROW()-3)</f>
        <v/>
      </c>
      <c r="B483" s="35"/>
      <c r="C483" s="28"/>
      <c r="D483" s="28"/>
      <c r="E483" s="28"/>
      <c r="F483" s="28"/>
      <c r="G483" s="32" t="str">
        <f aca="false">IF(E483="","",IFERROR(INDEX(Товары!$D$4:$D$200,MATCH(E483,Товары!$B$4:$B$200,0)),0))</f>
        <v/>
      </c>
      <c r="H483" s="29"/>
      <c r="I483" s="32" t="str">
        <f aca="false">IF(OR(E483="",F483=""),"",F483*G483-N(H483))</f>
        <v/>
      </c>
      <c r="J483" s="29"/>
      <c r="K483" s="32" t="str">
        <f aca="false">IF(AND(I483="",N(J483)=0),"",N(I483)+N(J483))</f>
        <v/>
      </c>
      <c r="L483" s="32" t="str">
        <f aca="false">IF(OR(E483="",F483=""),"",F483*IFERROR(INDEX(Товары!$C$4:$C$200,MATCH(E483,Товары!$B$4:$B$200,0)),0))</f>
        <v/>
      </c>
      <c r="M483" s="32" t="str">
        <f aca="false">IF(I483="","",I483-L483)</f>
        <v/>
      </c>
      <c r="N483" s="28"/>
      <c r="O483" s="28"/>
      <c r="P483" s="28"/>
      <c r="Q483" s="28"/>
      <c r="R483" s="35"/>
      <c r="S483" s="28"/>
    </row>
    <row r="484" customFormat="false" ht="15" hidden="false" customHeight="false" outlineLevel="0" collapsed="false">
      <c r="A484" s="34" t="str">
        <f aca="false">IF(E484="","",ROW()-3)</f>
        <v/>
      </c>
      <c r="B484" s="35"/>
      <c r="C484" s="28"/>
      <c r="D484" s="28"/>
      <c r="E484" s="28"/>
      <c r="F484" s="28"/>
      <c r="G484" s="32" t="str">
        <f aca="false">IF(E484="","",IFERROR(INDEX(Товары!$D$4:$D$200,MATCH(E484,Товары!$B$4:$B$200,0)),0))</f>
        <v/>
      </c>
      <c r="H484" s="29"/>
      <c r="I484" s="32" t="str">
        <f aca="false">IF(OR(E484="",F484=""),"",F484*G484-N(H484))</f>
        <v/>
      </c>
      <c r="J484" s="29"/>
      <c r="K484" s="32" t="str">
        <f aca="false">IF(AND(I484="",N(J484)=0),"",N(I484)+N(J484))</f>
        <v/>
      </c>
      <c r="L484" s="32" t="str">
        <f aca="false">IF(OR(E484="",F484=""),"",F484*IFERROR(INDEX(Товары!$C$4:$C$200,MATCH(E484,Товары!$B$4:$B$200,0)),0))</f>
        <v/>
      </c>
      <c r="M484" s="32" t="str">
        <f aca="false">IF(I484="","",I484-L484)</f>
        <v/>
      </c>
      <c r="N484" s="28"/>
      <c r="O484" s="28"/>
      <c r="P484" s="28"/>
      <c r="Q484" s="28"/>
      <c r="R484" s="35"/>
      <c r="S484" s="28"/>
    </row>
    <row r="485" customFormat="false" ht="15" hidden="false" customHeight="false" outlineLevel="0" collapsed="false">
      <c r="A485" s="34" t="str">
        <f aca="false">IF(E485="","",ROW()-3)</f>
        <v/>
      </c>
      <c r="B485" s="35"/>
      <c r="C485" s="28"/>
      <c r="D485" s="28"/>
      <c r="E485" s="28"/>
      <c r="F485" s="28"/>
      <c r="G485" s="32" t="str">
        <f aca="false">IF(E485="","",IFERROR(INDEX(Товары!$D$4:$D$200,MATCH(E485,Товары!$B$4:$B$200,0)),0))</f>
        <v/>
      </c>
      <c r="H485" s="29"/>
      <c r="I485" s="32" t="str">
        <f aca="false">IF(OR(E485="",F485=""),"",F485*G485-N(H485))</f>
        <v/>
      </c>
      <c r="J485" s="29"/>
      <c r="K485" s="32" t="str">
        <f aca="false">IF(AND(I485="",N(J485)=0),"",N(I485)+N(J485))</f>
        <v/>
      </c>
      <c r="L485" s="32" t="str">
        <f aca="false">IF(OR(E485="",F485=""),"",F485*IFERROR(INDEX(Товары!$C$4:$C$200,MATCH(E485,Товары!$B$4:$B$200,0)),0))</f>
        <v/>
      </c>
      <c r="M485" s="32" t="str">
        <f aca="false">IF(I485="","",I485-L485)</f>
        <v/>
      </c>
      <c r="N485" s="28"/>
      <c r="O485" s="28"/>
      <c r="P485" s="28"/>
      <c r="Q485" s="28"/>
      <c r="R485" s="35"/>
      <c r="S485" s="28"/>
    </row>
    <row r="486" customFormat="false" ht="15" hidden="false" customHeight="false" outlineLevel="0" collapsed="false">
      <c r="A486" s="34" t="str">
        <f aca="false">IF(E486="","",ROW()-3)</f>
        <v/>
      </c>
      <c r="B486" s="35"/>
      <c r="C486" s="28"/>
      <c r="D486" s="28"/>
      <c r="E486" s="28"/>
      <c r="F486" s="28"/>
      <c r="G486" s="32" t="str">
        <f aca="false">IF(E486="","",IFERROR(INDEX(Товары!$D$4:$D$200,MATCH(E486,Товары!$B$4:$B$200,0)),0))</f>
        <v/>
      </c>
      <c r="H486" s="29"/>
      <c r="I486" s="32" t="str">
        <f aca="false">IF(OR(E486="",F486=""),"",F486*G486-N(H486))</f>
        <v/>
      </c>
      <c r="J486" s="29"/>
      <c r="K486" s="32" t="str">
        <f aca="false">IF(AND(I486="",N(J486)=0),"",N(I486)+N(J486))</f>
        <v/>
      </c>
      <c r="L486" s="32" t="str">
        <f aca="false">IF(OR(E486="",F486=""),"",F486*IFERROR(INDEX(Товары!$C$4:$C$200,MATCH(E486,Товары!$B$4:$B$200,0)),0))</f>
        <v/>
      </c>
      <c r="M486" s="32" t="str">
        <f aca="false">IF(I486="","",I486-L486)</f>
        <v/>
      </c>
      <c r="N486" s="28"/>
      <c r="O486" s="28"/>
      <c r="P486" s="28"/>
      <c r="Q486" s="28"/>
      <c r="R486" s="35"/>
      <c r="S486" s="28"/>
    </row>
    <row r="487" customFormat="false" ht="15" hidden="false" customHeight="false" outlineLevel="0" collapsed="false">
      <c r="A487" s="34" t="str">
        <f aca="false">IF(E487="","",ROW()-3)</f>
        <v/>
      </c>
      <c r="B487" s="35"/>
      <c r="C487" s="28"/>
      <c r="D487" s="28"/>
      <c r="E487" s="28"/>
      <c r="F487" s="28"/>
      <c r="G487" s="32" t="str">
        <f aca="false">IF(E487="","",IFERROR(INDEX(Товары!$D$4:$D$200,MATCH(E487,Товары!$B$4:$B$200,0)),0))</f>
        <v/>
      </c>
      <c r="H487" s="29"/>
      <c r="I487" s="32" t="str">
        <f aca="false">IF(OR(E487="",F487=""),"",F487*G487-N(H487))</f>
        <v/>
      </c>
      <c r="J487" s="29"/>
      <c r="K487" s="32" t="str">
        <f aca="false">IF(AND(I487="",N(J487)=0),"",N(I487)+N(J487))</f>
        <v/>
      </c>
      <c r="L487" s="32" t="str">
        <f aca="false">IF(OR(E487="",F487=""),"",F487*IFERROR(INDEX(Товары!$C$4:$C$200,MATCH(E487,Товары!$B$4:$B$200,0)),0))</f>
        <v/>
      </c>
      <c r="M487" s="32" t="str">
        <f aca="false">IF(I487="","",I487-L487)</f>
        <v/>
      </c>
      <c r="N487" s="28"/>
      <c r="O487" s="28"/>
      <c r="P487" s="28"/>
      <c r="Q487" s="28"/>
      <c r="R487" s="35"/>
      <c r="S487" s="28"/>
    </row>
    <row r="488" customFormat="false" ht="15" hidden="false" customHeight="false" outlineLevel="0" collapsed="false">
      <c r="A488" s="34" t="str">
        <f aca="false">IF(E488="","",ROW()-3)</f>
        <v/>
      </c>
      <c r="B488" s="35"/>
      <c r="C488" s="28"/>
      <c r="D488" s="28"/>
      <c r="E488" s="28"/>
      <c r="F488" s="28"/>
      <c r="G488" s="32" t="str">
        <f aca="false">IF(E488="","",IFERROR(INDEX(Товары!$D$4:$D$200,MATCH(E488,Товары!$B$4:$B$200,0)),0))</f>
        <v/>
      </c>
      <c r="H488" s="29"/>
      <c r="I488" s="32" t="str">
        <f aca="false">IF(OR(E488="",F488=""),"",F488*G488-N(H488))</f>
        <v/>
      </c>
      <c r="J488" s="29"/>
      <c r="K488" s="32" t="str">
        <f aca="false">IF(AND(I488="",N(J488)=0),"",N(I488)+N(J488))</f>
        <v/>
      </c>
      <c r="L488" s="32" t="str">
        <f aca="false">IF(OR(E488="",F488=""),"",F488*IFERROR(INDEX(Товары!$C$4:$C$200,MATCH(E488,Товары!$B$4:$B$200,0)),0))</f>
        <v/>
      </c>
      <c r="M488" s="32" t="str">
        <f aca="false">IF(I488="","",I488-L488)</f>
        <v/>
      </c>
      <c r="N488" s="28"/>
      <c r="O488" s="28"/>
      <c r="P488" s="28"/>
      <c r="Q488" s="28"/>
      <c r="R488" s="35"/>
      <c r="S488" s="28"/>
    </row>
    <row r="489" customFormat="false" ht="15" hidden="false" customHeight="false" outlineLevel="0" collapsed="false">
      <c r="A489" s="34" t="str">
        <f aca="false">IF(E489="","",ROW()-3)</f>
        <v/>
      </c>
      <c r="B489" s="35"/>
      <c r="C489" s="28"/>
      <c r="D489" s="28"/>
      <c r="E489" s="28"/>
      <c r="F489" s="28"/>
      <c r="G489" s="32" t="str">
        <f aca="false">IF(E489="","",IFERROR(INDEX(Товары!$D$4:$D$200,MATCH(E489,Товары!$B$4:$B$200,0)),0))</f>
        <v/>
      </c>
      <c r="H489" s="29"/>
      <c r="I489" s="32" t="str">
        <f aca="false">IF(OR(E489="",F489=""),"",F489*G489-N(H489))</f>
        <v/>
      </c>
      <c r="J489" s="29"/>
      <c r="K489" s="32" t="str">
        <f aca="false">IF(AND(I489="",N(J489)=0),"",N(I489)+N(J489))</f>
        <v/>
      </c>
      <c r="L489" s="32" t="str">
        <f aca="false">IF(OR(E489="",F489=""),"",F489*IFERROR(INDEX(Товары!$C$4:$C$200,MATCH(E489,Товары!$B$4:$B$200,0)),0))</f>
        <v/>
      </c>
      <c r="M489" s="32" t="str">
        <f aca="false">IF(I489="","",I489-L489)</f>
        <v/>
      </c>
      <c r="N489" s="28"/>
      <c r="O489" s="28"/>
      <c r="P489" s="28"/>
      <c r="Q489" s="28"/>
      <c r="R489" s="35"/>
      <c r="S489" s="28"/>
    </row>
    <row r="490" customFormat="false" ht="15" hidden="false" customHeight="false" outlineLevel="0" collapsed="false">
      <c r="A490" s="34" t="str">
        <f aca="false">IF(E490="","",ROW()-3)</f>
        <v/>
      </c>
      <c r="B490" s="35"/>
      <c r="C490" s="28"/>
      <c r="D490" s="28"/>
      <c r="E490" s="28"/>
      <c r="F490" s="28"/>
      <c r="G490" s="32" t="str">
        <f aca="false">IF(E490="","",IFERROR(INDEX(Товары!$D$4:$D$200,MATCH(E490,Товары!$B$4:$B$200,0)),0))</f>
        <v/>
      </c>
      <c r="H490" s="29"/>
      <c r="I490" s="32" t="str">
        <f aca="false">IF(OR(E490="",F490=""),"",F490*G490-N(H490))</f>
        <v/>
      </c>
      <c r="J490" s="29"/>
      <c r="K490" s="32" t="str">
        <f aca="false">IF(AND(I490="",N(J490)=0),"",N(I490)+N(J490))</f>
        <v/>
      </c>
      <c r="L490" s="32" t="str">
        <f aca="false">IF(OR(E490="",F490=""),"",F490*IFERROR(INDEX(Товары!$C$4:$C$200,MATCH(E490,Товары!$B$4:$B$200,0)),0))</f>
        <v/>
      </c>
      <c r="M490" s="32" t="str">
        <f aca="false">IF(I490="","",I490-L490)</f>
        <v/>
      </c>
      <c r="N490" s="28"/>
      <c r="O490" s="28"/>
      <c r="P490" s="28"/>
      <c r="Q490" s="28"/>
      <c r="R490" s="35"/>
      <c r="S490" s="28"/>
    </row>
    <row r="491" customFormat="false" ht="15" hidden="false" customHeight="false" outlineLevel="0" collapsed="false">
      <c r="A491" s="34" t="str">
        <f aca="false">IF(E491="","",ROW()-3)</f>
        <v/>
      </c>
      <c r="B491" s="35"/>
      <c r="C491" s="28"/>
      <c r="D491" s="28"/>
      <c r="E491" s="28"/>
      <c r="F491" s="28"/>
      <c r="G491" s="32" t="str">
        <f aca="false">IF(E491="","",IFERROR(INDEX(Товары!$D$4:$D$200,MATCH(E491,Товары!$B$4:$B$200,0)),0))</f>
        <v/>
      </c>
      <c r="H491" s="29"/>
      <c r="I491" s="32" t="str">
        <f aca="false">IF(OR(E491="",F491=""),"",F491*G491-N(H491))</f>
        <v/>
      </c>
      <c r="J491" s="29"/>
      <c r="K491" s="32" t="str">
        <f aca="false">IF(AND(I491="",N(J491)=0),"",N(I491)+N(J491))</f>
        <v/>
      </c>
      <c r="L491" s="32" t="str">
        <f aca="false">IF(OR(E491="",F491=""),"",F491*IFERROR(INDEX(Товары!$C$4:$C$200,MATCH(E491,Товары!$B$4:$B$200,0)),0))</f>
        <v/>
      </c>
      <c r="M491" s="32" t="str">
        <f aca="false">IF(I491="","",I491-L491)</f>
        <v/>
      </c>
      <c r="N491" s="28"/>
      <c r="O491" s="28"/>
      <c r="P491" s="28"/>
      <c r="Q491" s="28"/>
      <c r="R491" s="35"/>
      <c r="S491" s="28"/>
    </row>
    <row r="492" customFormat="false" ht="15" hidden="false" customHeight="false" outlineLevel="0" collapsed="false">
      <c r="A492" s="34" t="str">
        <f aca="false">IF(E492="","",ROW()-3)</f>
        <v/>
      </c>
      <c r="B492" s="35"/>
      <c r="C492" s="28"/>
      <c r="D492" s="28"/>
      <c r="E492" s="28"/>
      <c r="F492" s="28"/>
      <c r="G492" s="32" t="str">
        <f aca="false">IF(E492="","",IFERROR(INDEX(Товары!$D$4:$D$200,MATCH(E492,Товары!$B$4:$B$200,0)),0))</f>
        <v/>
      </c>
      <c r="H492" s="29"/>
      <c r="I492" s="32" t="str">
        <f aca="false">IF(OR(E492="",F492=""),"",F492*G492-N(H492))</f>
        <v/>
      </c>
      <c r="J492" s="29"/>
      <c r="K492" s="32" t="str">
        <f aca="false">IF(AND(I492="",N(J492)=0),"",N(I492)+N(J492))</f>
        <v/>
      </c>
      <c r="L492" s="32" t="str">
        <f aca="false">IF(OR(E492="",F492=""),"",F492*IFERROR(INDEX(Товары!$C$4:$C$200,MATCH(E492,Товары!$B$4:$B$200,0)),0))</f>
        <v/>
      </c>
      <c r="M492" s="32" t="str">
        <f aca="false">IF(I492="","",I492-L492)</f>
        <v/>
      </c>
      <c r="N492" s="28"/>
      <c r="O492" s="28"/>
      <c r="P492" s="28"/>
      <c r="Q492" s="28"/>
      <c r="R492" s="35"/>
      <c r="S492" s="28"/>
    </row>
    <row r="493" customFormat="false" ht="15" hidden="false" customHeight="false" outlineLevel="0" collapsed="false">
      <c r="A493" s="34" t="str">
        <f aca="false">IF(E493="","",ROW()-3)</f>
        <v/>
      </c>
      <c r="B493" s="35"/>
      <c r="C493" s="28"/>
      <c r="D493" s="28"/>
      <c r="E493" s="28"/>
      <c r="F493" s="28"/>
      <c r="G493" s="32" t="str">
        <f aca="false">IF(E493="","",IFERROR(INDEX(Товары!$D$4:$D$200,MATCH(E493,Товары!$B$4:$B$200,0)),0))</f>
        <v/>
      </c>
      <c r="H493" s="29"/>
      <c r="I493" s="32" t="str">
        <f aca="false">IF(OR(E493="",F493=""),"",F493*G493-N(H493))</f>
        <v/>
      </c>
      <c r="J493" s="29"/>
      <c r="K493" s="32" t="str">
        <f aca="false">IF(AND(I493="",N(J493)=0),"",N(I493)+N(J493))</f>
        <v/>
      </c>
      <c r="L493" s="32" t="str">
        <f aca="false">IF(OR(E493="",F493=""),"",F493*IFERROR(INDEX(Товары!$C$4:$C$200,MATCH(E493,Товары!$B$4:$B$200,0)),0))</f>
        <v/>
      </c>
      <c r="M493" s="32" t="str">
        <f aca="false">IF(I493="","",I493-L493)</f>
        <v/>
      </c>
      <c r="N493" s="28"/>
      <c r="O493" s="28"/>
      <c r="P493" s="28"/>
      <c r="Q493" s="28"/>
      <c r="R493" s="35"/>
      <c r="S493" s="28"/>
    </row>
    <row r="494" customFormat="false" ht="15" hidden="false" customHeight="false" outlineLevel="0" collapsed="false">
      <c r="A494" s="34" t="str">
        <f aca="false">IF(E494="","",ROW()-3)</f>
        <v/>
      </c>
      <c r="B494" s="35"/>
      <c r="C494" s="28"/>
      <c r="D494" s="28"/>
      <c r="E494" s="28"/>
      <c r="F494" s="28"/>
      <c r="G494" s="32" t="str">
        <f aca="false">IF(E494="","",IFERROR(INDEX(Товары!$D$4:$D$200,MATCH(E494,Товары!$B$4:$B$200,0)),0))</f>
        <v/>
      </c>
      <c r="H494" s="29"/>
      <c r="I494" s="32" t="str">
        <f aca="false">IF(OR(E494="",F494=""),"",F494*G494-N(H494))</f>
        <v/>
      </c>
      <c r="J494" s="29"/>
      <c r="K494" s="32" t="str">
        <f aca="false">IF(AND(I494="",N(J494)=0),"",N(I494)+N(J494))</f>
        <v/>
      </c>
      <c r="L494" s="32" t="str">
        <f aca="false">IF(OR(E494="",F494=""),"",F494*IFERROR(INDEX(Товары!$C$4:$C$200,MATCH(E494,Товары!$B$4:$B$200,0)),0))</f>
        <v/>
      </c>
      <c r="M494" s="32" t="str">
        <f aca="false">IF(I494="","",I494-L494)</f>
        <v/>
      </c>
      <c r="N494" s="28"/>
      <c r="O494" s="28"/>
      <c r="P494" s="28"/>
      <c r="Q494" s="28"/>
      <c r="R494" s="35"/>
      <c r="S494" s="28"/>
    </row>
    <row r="495" customFormat="false" ht="15" hidden="false" customHeight="false" outlineLevel="0" collapsed="false">
      <c r="A495" s="34" t="str">
        <f aca="false">IF(E495="","",ROW()-3)</f>
        <v/>
      </c>
      <c r="B495" s="35"/>
      <c r="C495" s="28"/>
      <c r="D495" s="28"/>
      <c r="E495" s="28"/>
      <c r="F495" s="28"/>
      <c r="G495" s="32" t="str">
        <f aca="false">IF(E495="","",IFERROR(INDEX(Товары!$D$4:$D$200,MATCH(E495,Товары!$B$4:$B$200,0)),0))</f>
        <v/>
      </c>
      <c r="H495" s="29"/>
      <c r="I495" s="32" t="str">
        <f aca="false">IF(OR(E495="",F495=""),"",F495*G495-N(H495))</f>
        <v/>
      </c>
      <c r="J495" s="29"/>
      <c r="K495" s="32" t="str">
        <f aca="false">IF(AND(I495="",N(J495)=0),"",N(I495)+N(J495))</f>
        <v/>
      </c>
      <c r="L495" s="32" t="str">
        <f aca="false">IF(OR(E495="",F495=""),"",F495*IFERROR(INDEX(Товары!$C$4:$C$200,MATCH(E495,Товары!$B$4:$B$200,0)),0))</f>
        <v/>
      </c>
      <c r="M495" s="32" t="str">
        <f aca="false">IF(I495="","",I495-L495)</f>
        <v/>
      </c>
      <c r="N495" s="28"/>
      <c r="O495" s="28"/>
      <c r="P495" s="28"/>
      <c r="Q495" s="28"/>
      <c r="R495" s="35"/>
      <c r="S495" s="28"/>
    </row>
    <row r="496" customFormat="false" ht="15" hidden="false" customHeight="false" outlineLevel="0" collapsed="false">
      <c r="A496" s="34" t="str">
        <f aca="false">IF(E496="","",ROW()-3)</f>
        <v/>
      </c>
      <c r="B496" s="35"/>
      <c r="C496" s="28"/>
      <c r="D496" s="28"/>
      <c r="E496" s="28"/>
      <c r="F496" s="28"/>
      <c r="G496" s="32" t="str">
        <f aca="false">IF(E496="","",IFERROR(INDEX(Товары!$D$4:$D$200,MATCH(E496,Товары!$B$4:$B$200,0)),0))</f>
        <v/>
      </c>
      <c r="H496" s="29"/>
      <c r="I496" s="32" t="str">
        <f aca="false">IF(OR(E496="",F496=""),"",F496*G496-N(H496))</f>
        <v/>
      </c>
      <c r="J496" s="29"/>
      <c r="K496" s="32" t="str">
        <f aca="false">IF(AND(I496="",N(J496)=0),"",N(I496)+N(J496))</f>
        <v/>
      </c>
      <c r="L496" s="32" t="str">
        <f aca="false">IF(OR(E496="",F496=""),"",F496*IFERROR(INDEX(Товары!$C$4:$C$200,MATCH(E496,Товары!$B$4:$B$200,0)),0))</f>
        <v/>
      </c>
      <c r="M496" s="32" t="str">
        <f aca="false">IF(I496="","",I496-L496)</f>
        <v/>
      </c>
      <c r="N496" s="28"/>
      <c r="O496" s="28"/>
      <c r="P496" s="28"/>
      <c r="Q496" s="28"/>
      <c r="R496" s="35"/>
      <c r="S496" s="28"/>
    </row>
    <row r="497" customFormat="false" ht="15" hidden="false" customHeight="false" outlineLevel="0" collapsed="false">
      <c r="A497" s="34" t="str">
        <f aca="false">IF(E497="","",ROW()-3)</f>
        <v/>
      </c>
      <c r="B497" s="35"/>
      <c r="C497" s="28"/>
      <c r="D497" s="28"/>
      <c r="E497" s="28"/>
      <c r="F497" s="28"/>
      <c r="G497" s="32" t="str">
        <f aca="false">IF(E497="","",IFERROR(INDEX(Товары!$D$4:$D$200,MATCH(E497,Товары!$B$4:$B$200,0)),0))</f>
        <v/>
      </c>
      <c r="H497" s="29"/>
      <c r="I497" s="32" t="str">
        <f aca="false">IF(OR(E497="",F497=""),"",F497*G497-N(H497))</f>
        <v/>
      </c>
      <c r="J497" s="29"/>
      <c r="K497" s="32" t="str">
        <f aca="false">IF(AND(I497="",N(J497)=0),"",N(I497)+N(J497))</f>
        <v/>
      </c>
      <c r="L497" s="32" t="str">
        <f aca="false">IF(OR(E497="",F497=""),"",F497*IFERROR(INDEX(Товары!$C$4:$C$200,MATCH(E497,Товары!$B$4:$B$200,0)),0))</f>
        <v/>
      </c>
      <c r="M497" s="32" t="str">
        <f aca="false">IF(I497="","",I497-L497)</f>
        <v/>
      </c>
      <c r="N497" s="28"/>
      <c r="O497" s="28"/>
      <c r="P497" s="28"/>
      <c r="Q497" s="28"/>
      <c r="R497" s="35"/>
      <c r="S497" s="28"/>
    </row>
    <row r="498" customFormat="false" ht="15" hidden="false" customHeight="false" outlineLevel="0" collapsed="false">
      <c r="A498" s="34" t="str">
        <f aca="false">IF(E498="","",ROW()-3)</f>
        <v/>
      </c>
      <c r="B498" s="35"/>
      <c r="C498" s="28"/>
      <c r="D498" s="28"/>
      <c r="E498" s="28"/>
      <c r="F498" s="28"/>
      <c r="G498" s="32" t="str">
        <f aca="false">IF(E498="","",IFERROR(INDEX(Товары!$D$4:$D$200,MATCH(E498,Товары!$B$4:$B$200,0)),0))</f>
        <v/>
      </c>
      <c r="H498" s="29"/>
      <c r="I498" s="32" t="str">
        <f aca="false">IF(OR(E498="",F498=""),"",F498*G498-N(H498))</f>
        <v/>
      </c>
      <c r="J498" s="29"/>
      <c r="K498" s="32" t="str">
        <f aca="false">IF(AND(I498="",N(J498)=0),"",N(I498)+N(J498))</f>
        <v/>
      </c>
      <c r="L498" s="32" t="str">
        <f aca="false">IF(OR(E498="",F498=""),"",F498*IFERROR(INDEX(Товары!$C$4:$C$200,MATCH(E498,Товары!$B$4:$B$200,0)),0))</f>
        <v/>
      </c>
      <c r="M498" s="32" t="str">
        <f aca="false">IF(I498="","",I498-L498)</f>
        <v/>
      </c>
      <c r="N498" s="28"/>
      <c r="O498" s="28"/>
      <c r="P498" s="28"/>
      <c r="Q498" s="28"/>
      <c r="R498" s="35"/>
      <c r="S498" s="28"/>
    </row>
    <row r="499" customFormat="false" ht="15" hidden="false" customHeight="false" outlineLevel="0" collapsed="false">
      <c r="A499" s="34" t="str">
        <f aca="false">IF(E499="","",ROW()-3)</f>
        <v/>
      </c>
      <c r="B499" s="35"/>
      <c r="C499" s="28"/>
      <c r="D499" s="28"/>
      <c r="E499" s="28"/>
      <c r="F499" s="28"/>
      <c r="G499" s="32" t="str">
        <f aca="false">IF(E499="","",IFERROR(INDEX(Товары!$D$4:$D$200,MATCH(E499,Товары!$B$4:$B$200,0)),0))</f>
        <v/>
      </c>
      <c r="H499" s="29"/>
      <c r="I499" s="32" t="str">
        <f aca="false">IF(OR(E499="",F499=""),"",F499*G499-N(H499))</f>
        <v/>
      </c>
      <c r="J499" s="29"/>
      <c r="K499" s="32" t="str">
        <f aca="false">IF(AND(I499="",N(J499)=0),"",N(I499)+N(J499))</f>
        <v/>
      </c>
      <c r="L499" s="32" t="str">
        <f aca="false">IF(OR(E499="",F499=""),"",F499*IFERROR(INDEX(Товары!$C$4:$C$200,MATCH(E499,Товары!$B$4:$B$200,0)),0))</f>
        <v/>
      </c>
      <c r="M499" s="32" t="str">
        <f aca="false">IF(I499="","",I499-L499)</f>
        <v/>
      </c>
      <c r="N499" s="28"/>
      <c r="O499" s="28"/>
      <c r="P499" s="28"/>
      <c r="Q499" s="28"/>
      <c r="R499" s="35"/>
      <c r="S499" s="28"/>
    </row>
    <row r="500" customFormat="false" ht="15" hidden="false" customHeight="false" outlineLevel="0" collapsed="false">
      <c r="A500" s="34" t="str">
        <f aca="false">IF(E500="","",ROW()-3)</f>
        <v/>
      </c>
      <c r="B500" s="35"/>
      <c r="C500" s="28"/>
      <c r="D500" s="28"/>
      <c r="E500" s="28"/>
      <c r="F500" s="28"/>
      <c r="G500" s="32" t="str">
        <f aca="false">IF(E500="","",IFERROR(INDEX(Товары!$D$4:$D$200,MATCH(E500,Товары!$B$4:$B$200,0)),0))</f>
        <v/>
      </c>
      <c r="H500" s="29"/>
      <c r="I500" s="32" t="str">
        <f aca="false">IF(OR(E500="",F500=""),"",F500*G500-N(H500))</f>
        <v/>
      </c>
      <c r="J500" s="29"/>
      <c r="K500" s="32" t="str">
        <f aca="false">IF(AND(I500="",N(J500)=0),"",N(I500)+N(J500))</f>
        <v/>
      </c>
      <c r="L500" s="32" t="str">
        <f aca="false">IF(OR(E500="",F500=""),"",F500*IFERROR(INDEX(Товары!$C$4:$C$200,MATCH(E500,Товары!$B$4:$B$200,0)),0))</f>
        <v/>
      </c>
      <c r="M500" s="32" t="str">
        <f aca="false">IF(I500="","",I500-L500)</f>
        <v/>
      </c>
      <c r="N500" s="28"/>
      <c r="O500" s="28"/>
      <c r="P500" s="28"/>
      <c r="Q500" s="28"/>
      <c r="R500" s="35"/>
      <c r="S500" s="28"/>
    </row>
    <row r="501" customFormat="false" ht="15" hidden="false" customHeight="false" outlineLevel="0" collapsed="false">
      <c r="A501" s="34" t="str">
        <f aca="false">IF(E501="","",ROW()-3)</f>
        <v/>
      </c>
      <c r="B501" s="35"/>
      <c r="C501" s="28"/>
      <c r="D501" s="28"/>
      <c r="E501" s="28"/>
      <c r="F501" s="28"/>
      <c r="G501" s="32" t="str">
        <f aca="false">IF(E501="","",IFERROR(INDEX(Товары!$D$4:$D$200,MATCH(E501,Товары!$B$4:$B$200,0)),0))</f>
        <v/>
      </c>
      <c r="H501" s="29"/>
      <c r="I501" s="32" t="str">
        <f aca="false">IF(OR(E501="",F501=""),"",F501*G501-N(H501))</f>
        <v/>
      </c>
      <c r="J501" s="29"/>
      <c r="K501" s="32" t="str">
        <f aca="false">IF(AND(I501="",N(J501)=0),"",N(I501)+N(J501))</f>
        <v/>
      </c>
      <c r="L501" s="32" t="str">
        <f aca="false">IF(OR(E501="",F501=""),"",F501*IFERROR(INDEX(Товары!$C$4:$C$200,MATCH(E501,Товары!$B$4:$B$200,0)),0))</f>
        <v/>
      </c>
      <c r="M501" s="32" t="str">
        <f aca="false">IF(I501="","",I501-L501)</f>
        <v/>
      </c>
      <c r="N501" s="28"/>
      <c r="O501" s="28"/>
      <c r="P501" s="28"/>
      <c r="Q501" s="28"/>
      <c r="R501" s="35"/>
      <c r="S501" s="28"/>
    </row>
    <row r="502" customFormat="false" ht="15" hidden="false" customHeight="false" outlineLevel="0" collapsed="false">
      <c r="A502" s="34" t="str">
        <f aca="false">IF(E502="","",ROW()-3)</f>
        <v/>
      </c>
      <c r="B502" s="35"/>
      <c r="C502" s="28"/>
      <c r="D502" s="28"/>
      <c r="E502" s="28"/>
      <c r="F502" s="28"/>
      <c r="G502" s="32" t="str">
        <f aca="false">IF(E502="","",IFERROR(INDEX(Товары!$D$4:$D$200,MATCH(E502,Товары!$B$4:$B$200,0)),0))</f>
        <v/>
      </c>
      <c r="H502" s="29"/>
      <c r="I502" s="32" t="str">
        <f aca="false">IF(OR(E502="",F502=""),"",F502*G502-N(H502))</f>
        <v/>
      </c>
      <c r="J502" s="29"/>
      <c r="K502" s="32" t="str">
        <f aca="false">IF(AND(I502="",N(J502)=0),"",N(I502)+N(J502))</f>
        <v/>
      </c>
      <c r="L502" s="32" t="str">
        <f aca="false">IF(OR(E502="",F502=""),"",F502*IFERROR(INDEX(Товары!$C$4:$C$200,MATCH(E502,Товары!$B$4:$B$200,0)),0))</f>
        <v/>
      </c>
      <c r="M502" s="32" t="str">
        <f aca="false">IF(I502="","",I502-L502)</f>
        <v/>
      </c>
      <c r="N502" s="28"/>
      <c r="O502" s="28"/>
      <c r="P502" s="28"/>
      <c r="Q502" s="28"/>
      <c r="R502" s="35"/>
      <c r="S502" s="28"/>
    </row>
    <row r="503" customFormat="false" ht="15" hidden="false" customHeight="false" outlineLevel="0" collapsed="false">
      <c r="A503" s="34" t="str">
        <f aca="false">IF(E503="","",ROW()-3)</f>
        <v/>
      </c>
      <c r="B503" s="35"/>
      <c r="C503" s="28"/>
      <c r="D503" s="28"/>
      <c r="E503" s="28"/>
      <c r="F503" s="28"/>
      <c r="G503" s="32" t="str">
        <f aca="false">IF(E503="","",IFERROR(INDEX(Товары!$D$4:$D$200,MATCH(E503,Товары!$B$4:$B$200,0)),0))</f>
        <v/>
      </c>
      <c r="H503" s="29"/>
      <c r="I503" s="32" t="str">
        <f aca="false">IF(OR(E503="",F503=""),"",F503*G503-N(H503))</f>
        <v/>
      </c>
      <c r="J503" s="29"/>
      <c r="K503" s="32" t="str">
        <f aca="false">IF(AND(I503="",N(J503)=0),"",N(I503)+N(J503))</f>
        <v/>
      </c>
      <c r="L503" s="32" t="str">
        <f aca="false">IF(OR(E503="",F503=""),"",F503*IFERROR(INDEX(Товары!$C$4:$C$200,MATCH(E503,Товары!$B$4:$B$200,0)),0))</f>
        <v/>
      </c>
      <c r="M503" s="32" t="str">
        <f aca="false">IF(I503="","",I503-L503)</f>
        <v/>
      </c>
      <c r="N503" s="28"/>
      <c r="O503" s="28"/>
      <c r="P503" s="28"/>
      <c r="Q503" s="28"/>
      <c r="R503" s="35"/>
      <c r="S503" s="28"/>
    </row>
    <row r="504" customFormat="false" ht="15" hidden="false" customHeight="false" outlineLevel="0" collapsed="false">
      <c r="A504" s="34" t="str">
        <f aca="false">IF(E504="","",ROW()-3)</f>
        <v/>
      </c>
      <c r="B504" s="35"/>
      <c r="C504" s="28"/>
      <c r="D504" s="28"/>
      <c r="E504" s="28"/>
      <c r="F504" s="28"/>
      <c r="G504" s="32" t="str">
        <f aca="false">IF(E504="","",IFERROR(INDEX(Товары!$D$4:$D$200,MATCH(E504,Товары!$B$4:$B$200,0)),0))</f>
        <v/>
      </c>
      <c r="H504" s="29"/>
      <c r="I504" s="32" t="str">
        <f aca="false">IF(OR(E504="",F504=""),"",F504*G504-N(H504))</f>
        <v/>
      </c>
      <c r="J504" s="29"/>
      <c r="K504" s="32" t="str">
        <f aca="false">IF(AND(I504="",N(J504)=0),"",N(I504)+N(J504))</f>
        <v/>
      </c>
      <c r="L504" s="32" t="str">
        <f aca="false">IF(OR(E504="",F504=""),"",F504*IFERROR(INDEX(Товары!$C$4:$C$200,MATCH(E504,Товары!$B$4:$B$200,0)),0))</f>
        <v/>
      </c>
      <c r="M504" s="32" t="str">
        <f aca="false">IF(I504="","",I504-L504)</f>
        <v/>
      </c>
      <c r="N504" s="28"/>
      <c r="O504" s="28"/>
      <c r="P504" s="28"/>
      <c r="Q504" s="28"/>
      <c r="R504" s="35"/>
      <c r="S504" s="28"/>
    </row>
    <row r="505" customFormat="false" ht="15" hidden="false" customHeight="false" outlineLevel="0" collapsed="false">
      <c r="A505" s="34" t="str">
        <f aca="false">IF(E505="","",ROW()-3)</f>
        <v/>
      </c>
      <c r="B505" s="35"/>
      <c r="C505" s="28"/>
      <c r="D505" s="28"/>
      <c r="E505" s="28"/>
      <c r="F505" s="28"/>
      <c r="G505" s="32" t="str">
        <f aca="false">IF(E505="","",IFERROR(INDEX(Товары!$D$4:$D$200,MATCH(E505,Товары!$B$4:$B$200,0)),0))</f>
        <v/>
      </c>
      <c r="H505" s="29"/>
      <c r="I505" s="32" t="str">
        <f aca="false">IF(OR(E505="",F505=""),"",F505*G505-N(H505))</f>
        <v/>
      </c>
      <c r="J505" s="29"/>
      <c r="K505" s="32" t="str">
        <f aca="false">IF(AND(I505="",N(J505)=0),"",N(I505)+N(J505))</f>
        <v/>
      </c>
      <c r="L505" s="32" t="str">
        <f aca="false">IF(OR(E505="",F505=""),"",F505*IFERROR(INDEX(Товары!$C$4:$C$200,MATCH(E505,Товары!$B$4:$B$200,0)),0))</f>
        <v/>
      </c>
      <c r="M505" s="32" t="str">
        <f aca="false">IF(I505="","",I505-L505)</f>
        <v/>
      </c>
      <c r="N505" s="28"/>
      <c r="O505" s="28"/>
      <c r="P505" s="28"/>
      <c r="Q505" s="28"/>
      <c r="R505" s="35"/>
      <c r="S505" s="28"/>
    </row>
    <row r="506" customFormat="false" ht="15" hidden="false" customHeight="false" outlineLevel="0" collapsed="false">
      <c r="A506" s="34" t="str">
        <f aca="false">IF(E506="","",ROW()-3)</f>
        <v/>
      </c>
      <c r="B506" s="35"/>
      <c r="C506" s="28"/>
      <c r="D506" s="28"/>
      <c r="E506" s="28"/>
      <c r="F506" s="28"/>
      <c r="G506" s="32" t="str">
        <f aca="false">IF(E506="","",IFERROR(INDEX(Товары!$D$4:$D$200,MATCH(E506,Товары!$B$4:$B$200,0)),0))</f>
        <v/>
      </c>
      <c r="H506" s="29"/>
      <c r="I506" s="32" t="str">
        <f aca="false">IF(OR(E506="",F506=""),"",F506*G506-N(H506))</f>
        <v/>
      </c>
      <c r="J506" s="29"/>
      <c r="K506" s="32" t="str">
        <f aca="false">IF(AND(I506="",N(J506)=0),"",N(I506)+N(J506))</f>
        <v/>
      </c>
      <c r="L506" s="32" t="str">
        <f aca="false">IF(OR(E506="",F506=""),"",F506*IFERROR(INDEX(Товары!$C$4:$C$200,MATCH(E506,Товары!$B$4:$B$200,0)),0))</f>
        <v/>
      </c>
      <c r="M506" s="32" t="str">
        <f aca="false">IF(I506="","",I506-L506)</f>
        <v/>
      </c>
      <c r="N506" s="28"/>
      <c r="O506" s="28"/>
      <c r="P506" s="28"/>
      <c r="Q506" s="28"/>
      <c r="R506" s="35"/>
      <c r="S506" s="28"/>
    </row>
    <row r="507" customFormat="false" ht="15" hidden="false" customHeight="false" outlineLevel="0" collapsed="false">
      <c r="A507" s="34" t="str">
        <f aca="false">IF(E507="","",ROW()-3)</f>
        <v/>
      </c>
      <c r="B507" s="35"/>
      <c r="C507" s="28"/>
      <c r="D507" s="28"/>
      <c r="E507" s="28"/>
      <c r="F507" s="28"/>
      <c r="G507" s="32" t="str">
        <f aca="false">IF(E507="","",IFERROR(INDEX(Товары!$D$4:$D$200,MATCH(E507,Товары!$B$4:$B$200,0)),0))</f>
        <v/>
      </c>
      <c r="H507" s="29"/>
      <c r="I507" s="32" t="str">
        <f aca="false">IF(OR(E507="",F507=""),"",F507*G507-N(H507))</f>
        <v/>
      </c>
      <c r="J507" s="29"/>
      <c r="K507" s="32" t="str">
        <f aca="false">IF(AND(I507="",N(J507)=0),"",N(I507)+N(J507))</f>
        <v/>
      </c>
      <c r="L507" s="32" t="str">
        <f aca="false">IF(OR(E507="",F507=""),"",F507*IFERROR(INDEX(Товары!$C$4:$C$200,MATCH(E507,Товары!$B$4:$B$200,0)),0))</f>
        <v/>
      </c>
      <c r="M507" s="32" t="str">
        <f aca="false">IF(I507="","",I507-L507)</f>
        <v/>
      </c>
      <c r="N507" s="28"/>
      <c r="O507" s="28"/>
      <c r="P507" s="28"/>
      <c r="Q507" s="28"/>
      <c r="R507" s="35"/>
      <c r="S507" s="28"/>
    </row>
    <row r="508" customFormat="false" ht="15" hidden="false" customHeight="false" outlineLevel="0" collapsed="false">
      <c r="A508" s="34" t="str">
        <f aca="false">IF(E508="","",ROW()-3)</f>
        <v/>
      </c>
      <c r="B508" s="35"/>
      <c r="C508" s="28"/>
      <c r="D508" s="28"/>
      <c r="E508" s="28"/>
      <c r="F508" s="28"/>
      <c r="G508" s="32" t="str">
        <f aca="false">IF(E508="","",IFERROR(INDEX(Товары!$D$4:$D$200,MATCH(E508,Товары!$B$4:$B$200,0)),0))</f>
        <v/>
      </c>
      <c r="H508" s="29"/>
      <c r="I508" s="32" t="str">
        <f aca="false">IF(OR(E508="",F508=""),"",F508*G508-N(H508))</f>
        <v/>
      </c>
      <c r="J508" s="29"/>
      <c r="K508" s="32" t="str">
        <f aca="false">IF(AND(I508="",N(J508)=0),"",N(I508)+N(J508))</f>
        <v/>
      </c>
      <c r="L508" s="32" t="str">
        <f aca="false">IF(OR(E508="",F508=""),"",F508*IFERROR(INDEX(Товары!$C$4:$C$200,MATCH(E508,Товары!$B$4:$B$200,0)),0))</f>
        <v/>
      </c>
      <c r="M508" s="32" t="str">
        <f aca="false">IF(I508="","",I508-L508)</f>
        <v/>
      </c>
      <c r="N508" s="28"/>
      <c r="O508" s="28"/>
      <c r="P508" s="28"/>
      <c r="Q508" s="28"/>
      <c r="R508" s="35"/>
      <c r="S508" s="28"/>
    </row>
    <row r="509" customFormat="false" ht="15" hidden="false" customHeight="false" outlineLevel="0" collapsed="false">
      <c r="A509" s="34" t="str">
        <f aca="false">IF(E509="","",ROW()-3)</f>
        <v/>
      </c>
      <c r="B509" s="35"/>
      <c r="C509" s="28"/>
      <c r="D509" s="28"/>
      <c r="E509" s="28"/>
      <c r="F509" s="28"/>
      <c r="G509" s="32" t="str">
        <f aca="false">IF(E509="","",IFERROR(INDEX(Товары!$D$4:$D$200,MATCH(E509,Товары!$B$4:$B$200,0)),0))</f>
        <v/>
      </c>
      <c r="H509" s="29"/>
      <c r="I509" s="32" t="str">
        <f aca="false">IF(OR(E509="",F509=""),"",F509*G509-N(H509))</f>
        <v/>
      </c>
      <c r="J509" s="29"/>
      <c r="K509" s="32" t="str">
        <f aca="false">IF(AND(I509="",N(J509)=0),"",N(I509)+N(J509))</f>
        <v/>
      </c>
      <c r="L509" s="32" t="str">
        <f aca="false">IF(OR(E509="",F509=""),"",F509*IFERROR(INDEX(Товары!$C$4:$C$200,MATCH(E509,Товары!$B$4:$B$200,0)),0))</f>
        <v/>
      </c>
      <c r="M509" s="32" t="str">
        <f aca="false">IF(I509="","",I509-L509)</f>
        <v/>
      </c>
      <c r="N509" s="28"/>
      <c r="O509" s="28"/>
      <c r="P509" s="28"/>
      <c r="Q509" s="28"/>
      <c r="R509" s="35"/>
      <c r="S509" s="28"/>
    </row>
    <row r="510" customFormat="false" ht="15" hidden="false" customHeight="false" outlineLevel="0" collapsed="false">
      <c r="A510" s="34" t="str">
        <f aca="false">IF(E510="","",ROW()-3)</f>
        <v/>
      </c>
      <c r="B510" s="35"/>
      <c r="C510" s="28"/>
      <c r="D510" s="28"/>
      <c r="E510" s="28"/>
      <c r="F510" s="28"/>
      <c r="G510" s="32" t="str">
        <f aca="false">IF(E510="","",IFERROR(INDEX(Товары!$D$4:$D$200,MATCH(E510,Товары!$B$4:$B$200,0)),0))</f>
        <v/>
      </c>
      <c r="H510" s="29"/>
      <c r="I510" s="32" t="str">
        <f aca="false">IF(OR(E510="",F510=""),"",F510*G510-N(H510))</f>
        <v/>
      </c>
      <c r="J510" s="29"/>
      <c r="K510" s="32" t="str">
        <f aca="false">IF(AND(I510="",N(J510)=0),"",N(I510)+N(J510))</f>
        <v/>
      </c>
      <c r="L510" s="32" t="str">
        <f aca="false">IF(OR(E510="",F510=""),"",F510*IFERROR(INDEX(Товары!$C$4:$C$200,MATCH(E510,Товары!$B$4:$B$200,0)),0))</f>
        <v/>
      </c>
      <c r="M510" s="32" t="str">
        <f aca="false">IF(I510="","",I510-L510)</f>
        <v/>
      </c>
      <c r="N510" s="28"/>
      <c r="O510" s="28"/>
      <c r="P510" s="28"/>
      <c r="Q510" s="28"/>
      <c r="R510" s="35"/>
      <c r="S510" s="28"/>
    </row>
    <row r="511" customFormat="false" ht="15" hidden="false" customHeight="false" outlineLevel="0" collapsed="false">
      <c r="A511" s="34" t="str">
        <f aca="false">IF(E511="","",ROW()-3)</f>
        <v/>
      </c>
      <c r="B511" s="35"/>
      <c r="C511" s="28"/>
      <c r="D511" s="28"/>
      <c r="E511" s="28"/>
      <c r="F511" s="28"/>
      <c r="G511" s="32" t="str">
        <f aca="false">IF(E511="","",IFERROR(INDEX(Товары!$D$4:$D$200,MATCH(E511,Товары!$B$4:$B$200,0)),0))</f>
        <v/>
      </c>
      <c r="H511" s="29"/>
      <c r="I511" s="32" t="str">
        <f aca="false">IF(OR(E511="",F511=""),"",F511*G511-N(H511))</f>
        <v/>
      </c>
      <c r="J511" s="29"/>
      <c r="K511" s="32" t="str">
        <f aca="false">IF(AND(I511="",N(J511)=0),"",N(I511)+N(J511))</f>
        <v/>
      </c>
      <c r="L511" s="32" t="str">
        <f aca="false">IF(OR(E511="",F511=""),"",F511*IFERROR(INDEX(Товары!$C$4:$C$200,MATCH(E511,Товары!$B$4:$B$200,0)),0))</f>
        <v/>
      </c>
      <c r="M511" s="32" t="str">
        <f aca="false">IF(I511="","",I511-L511)</f>
        <v/>
      </c>
      <c r="N511" s="28"/>
      <c r="O511" s="28"/>
      <c r="P511" s="28"/>
      <c r="Q511" s="28"/>
      <c r="R511" s="35"/>
      <c r="S511" s="28"/>
    </row>
    <row r="512" customFormat="false" ht="15" hidden="false" customHeight="false" outlineLevel="0" collapsed="false">
      <c r="A512" s="34" t="str">
        <f aca="false">IF(E512="","",ROW()-3)</f>
        <v/>
      </c>
      <c r="B512" s="35"/>
      <c r="C512" s="28"/>
      <c r="D512" s="28"/>
      <c r="E512" s="28"/>
      <c r="F512" s="28"/>
      <c r="G512" s="32" t="str">
        <f aca="false">IF(E512="","",IFERROR(INDEX(Товары!$D$4:$D$200,MATCH(E512,Товары!$B$4:$B$200,0)),0))</f>
        <v/>
      </c>
      <c r="H512" s="29"/>
      <c r="I512" s="32" t="str">
        <f aca="false">IF(OR(E512="",F512=""),"",F512*G512-N(H512))</f>
        <v/>
      </c>
      <c r="J512" s="29"/>
      <c r="K512" s="32" t="str">
        <f aca="false">IF(AND(I512="",N(J512)=0),"",N(I512)+N(J512))</f>
        <v/>
      </c>
      <c r="L512" s="32" t="str">
        <f aca="false">IF(OR(E512="",F512=""),"",F512*IFERROR(INDEX(Товары!$C$4:$C$200,MATCH(E512,Товары!$B$4:$B$200,0)),0))</f>
        <v/>
      </c>
      <c r="M512" s="32" t="str">
        <f aca="false">IF(I512="","",I512-L512)</f>
        <v/>
      </c>
      <c r="N512" s="28"/>
      <c r="O512" s="28"/>
      <c r="P512" s="28"/>
      <c r="Q512" s="28"/>
      <c r="R512" s="35"/>
      <c r="S512" s="28"/>
    </row>
    <row r="513" customFormat="false" ht="15" hidden="false" customHeight="false" outlineLevel="0" collapsed="false">
      <c r="A513" s="34" t="str">
        <f aca="false">IF(E513="","",ROW()-3)</f>
        <v/>
      </c>
      <c r="B513" s="35"/>
      <c r="C513" s="28"/>
      <c r="D513" s="28"/>
      <c r="E513" s="28"/>
      <c r="F513" s="28"/>
      <c r="G513" s="32" t="str">
        <f aca="false">IF(E513="","",IFERROR(INDEX(Товары!$D$4:$D$200,MATCH(E513,Товары!$B$4:$B$200,0)),0))</f>
        <v/>
      </c>
      <c r="H513" s="29"/>
      <c r="I513" s="32" t="str">
        <f aca="false">IF(OR(E513="",F513=""),"",F513*G513-N(H513))</f>
        <v/>
      </c>
      <c r="J513" s="29"/>
      <c r="K513" s="32" t="str">
        <f aca="false">IF(AND(I513="",N(J513)=0),"",N(I513)+N(J513))</f>
        <v/>
      </c>
      <c r="L513" s="32" t="str">
        <f aca="false">IF(OR(E513="",F513=""),"",F513*IFERROR(INDEX(Товары!$C$4:$C$200,MATCH(E513,Товары!$B$4:$B$200,0)),0))</f>
        <v/>
      </c>
      <c r="M513" s="32" t="str">
        <f aca="false">IF(I513="","",I513-L513)</f>
        <v/>
      </c>
      <c r="N513" s="28"/>
      <c r="O513" s="28"/>
      <c r="P513" s="28"/>
      <c r="Q513" s="28"/>
      <c r="R513" s="35"/>
      <c r="S513" s="28"/>
    </row>
    <row r="514" customFormat="false" ht="15" hidden="false" customHeight="false" outlineLevel="0" collapsed="false">
      <c r="A514" s="34" t="str">
        <f aca="false">IF(E514="","",ROW()-3)</f>
        <v/>
      </c>
      <c r="B514" s="35"/>
      <c r="C514" s="28"/>
      <c r="D514" s="28"/>
      <c r="E514" s="28"/>
      <c r="F514" s="28"/>
      <c r="G514" s="32" t="str">
        <f aca="false">IF(E514="","",IFERROR(INDEX(Товары!$D$4:$D$200,MATCH(E514,Товары!$B$4:$B$200,0)),0))</f>
        <v/>
      </c>
      <c r="H514" s="29"/>
      <c r="I514" s="32" t="str">
        <f aca="false">IF(OR(E514="",F514=""),"",F514*G514-N(H514))</f>
        <v/>
      </c>
      <c r="J514" s="29"/>
      <c r="K514" s="32" t="str">
        <f aca="false">IF(AND(I514="",N(J514)=0),"",N(I514)+N(J514))</f>
        <v/>
      </c>
      <c r="L514" s="32" t="str">
        <f aca="false">IF(OR(E514="",F514=""),"",F514*IFERROR(INDEX(Товары!$C$4:$C$200,MATCH(E514,Товары!$B$4:$B$200,0)),0))</f>
        <v/>
      </c>
      <c r="M514" s="32" t="str">
        <f aca="false">IF(I514="","",I514-L514)</f>
        <v/>
      </c>
      <c r="N514" s="28"/>
      <c r="O514" s="28"/>
      <c r="P514" s="28"/>
      <c r="Q514" s="28"/>
      <c r="R514" s="35"/>
      <c r="S514" s="28"/>
    </row>
    <row r="515" customFormat="false" ht="15" hidden="false" customHeight="false" outlineLevel="0" collapsed="false">
      <c r="A515" s="34" t="str">
        <f aca="false">IF(E515="","",ROW()-3)</f>
        <v/>
      </c>
      <c r="B515" s="35"/>
      <c r="C515" s="28"/>
      <c r="D515" s="28"/>
      <c r="E515" s="28"/>
      <c r="F515" s="28"/>
      <c r="G515" s="32" t="str">
        <f aca="false">IF(E515="","",IFERROR(INDEX(Товары!$D$4:$D$200,MATCH(E515,Товары!$B$4:$B$200,0)),0))</f>
        <v/>
      </c>
      <c r="H515" s="29"/>
      <c r="I515" s="32" t="str">
        <f aca="false">IF(OR(E515="",F515=""),"",F515*G515-N(H515))</f>
        <v/>
      </c>
      <c r="J515" s="29"/>
      <c r="K515" s="32" t="str">
        <f aca="false">IF(AND(I515="",N(J515)=0),"",N(I515)+N(J515))</f>
        <v/>
      </c>
      <c r="L515" s="32" t="str">
        <f aca="false">IF(OR(E515="",F515=""),"",F515*IFERROR(INDEX(Товары!$C$4:$C$200,MATCH(E515,Товары!$B$4:$B$200,0)),0))</f>
        <v/>
      </c>
      <c r="M515" s="32" t="str">
        <f aca="false">IF(I515="","",I515-L515)</f>
        <v/>
      </c>
      <c r="N515" s="28"/>
      <c r="O515" s="28"/>
      <c r="P515" s="28"/>
      <c r="Q515" s="28"/>
      <c r="R515" s="35"/>
      <c r="S515" s="28"/>
    </row>
    <row r="516" customFormat="false" ht="15" hidden="false" customHeight="false" outlineLevel="0" collapsed="false">
      <c r="A516" s="34" t="str">
        <f aca="false">IF(E516="","",ROW()-3)</f>
        <v/>
      </c>
      <c r="B516" s="35"/>
      <c r="C516" s="28"/>
      <c r="D516" s="28"/>
      <c r="E516" s="28"/>
      <c r="F516" s="28"/>
      <c r="G516" s="32" t="str">
        <f aca="false">IF(E516="","",IFERROR(INDEX(Товары!$D$4:$D$200,MATCH(E516,Товары!$B$4:$B$200,0)),0))</f>
        <v/>
      </c>
      <c r="H516" s="29"/>
      <c r="I516" s="32" t="str">
        <f aca="false">IF(OR(E516="",F516=""),"",F516*G516-N(H516))</f>
        <v/>
      </c>
      <c r="J516" s="29"/>
      <c r="K516" s="32" t="str">
        <f aca="false">IF(AND(I516="",N(J516)=0),"",N(I516)+N(J516))</f>
        <v/>
      </c>
      <c r="L516" s="32" t="str">
        <f aca="false">IF(OR(E516="",F516=""),"",F516*IFERROR(INDEX(Товары!$C$4:$C$200,MATCH(E516,Товары!$B$4:$B$200,0)),0))</f>
        <v/>
      </c>
      <c r="M516" s="32" t="str">
        <f aca="false">IF(I516="","",I516-L516)</f>
        <v/>
      </c>
      <c r="N516" s="28"/>
      <c r="O516" s="28"/>
      <c r="P516" s="28"/>
      <c r="Q516" s="28"/>
      <c r="R516" s="35"/>
      <c r="S516" s="28"/>
    </row>
    <row r="517" customFormat="false" ht="15" hidden="false" customHeight="false" outlineLevel="0" collapsed="false">
      <c r="A517" s="34" t="str">
        <f aca="false">IF(E517="","",ROW()-3)</f>
        <v/>
      </c>
      <c r="B517" s="35"/>
      <c r="C517" s="28"/>
      <c r="D517" s="28"/>
      <c r="E517" s="28"/>
      <c r="F517" s="28"/>
      <c r="G517" s="32" t="str">
        <f aca="false">IF(E517="","",IFERROR(INDEX(Товары!$D$4:$D$200,MATCH(E517,Товары!$B$4:$B$200,0)),0))</f>
        <v/>
      </c>
      <c r="H517" s="29"/>
      <c r="I517" s="32" t="str">
        <f aca="false">IF(OR(E517="",F517=""),"",F517*G517-N(H517))</f>
        <v/>
      </c>
      <c r="J517" s="29"/>
      <c r="K517" s="32" t="str">
        <f aca="false">IF(AND(I517="",N(J517)=0),"",N(I517)+N(J517))</f>
        <v/>
      </c>
      <c r="L517" s="32" t="str">
        <f aca="false">IF(OR(E517="",F517=""),"",F517*IFERROR(INDEX(Товары!$C$4:$C$200,MATCH(E517,Товары!$B$4:$B$200,0)),0))</f>
        <v/>
      </c>
      <c r="M517" s="32" t="str">
        <f aca="false">IF(I517="","",I517-L517)</f>
        <v/>
      </c>
      <c r="N517" s="28"/>
      <c r="O517" s="28"/>
      <c r="P517" s="28"/>
      <c r="Q517" s="28"/>
      <c r="R517" s="35"/>
      <c r="S517" s="28"/>
    </row>
    <row r="518" customFormat="false" ht="15" hidden="false" customHeight="false" outlineLevel="0" collapsed="false">
      <c r="A518" s="34" t="str">
        <f aca="false">IF(E518="","",ROW()-3)</f>
        <v/>
      </c>
      <c r="B518" s="35"/>
      <c r="C518" s="28"/>
      <c r="D518" s="28"/>
      <c r="E518" s="28"/>
      <c r="F518" s="28"/>
      <c r="G518" s="32" t="str">
        <f aca="false">IF(E518="","",IFERROR(INDEX(Товары!$D$4:$D$200,MATCH(E518,Товары!$B$4:$B$200,0)),0))</f>
        <v/>
      </c>
      <c r="H518" s="29"/>
      <c r="I518" s="32" t="str">
        <f aca="false">IF(OR(E518="",F518=""),"",F518*G518-N(H518))</f>
        <v/>
      </c>
      <c r="J518" s="29"/>
      <c r="K518" s="32" t="str">
        <f aca="false">IF(AND(I518="",N(J518)=0),"",N(I518)+N(J518))</f>
        <v/>
      </c>
      <c r="L518" s="32" t="str">
        <f aca="false">IF(OR(E518="",F518=""),"",F518*IFERROR(INDEX(Товары!$C$4:$C$200,MATCH(E518,Товары!$B$4:$B$200,0)),0))</f>
        <v/>
      </c>
      <c r="M518" s="32" t="str">
        <f aca="false">IF(I518="","",I518-L518)</f>
        <v/>
      </c>
      <c r="N518" s="28"/>
      <c r="O518" s="28"/>
      <c r="P518" s="28"/>
      <c r="Q518" s="28"/>
      <c r="R518" s="35"/>
      <c r="S518" s="28"/>
    </row>
    <row r="519" customFormat="false" ht="15" hidden="false" customHeight="false" outlineLevel="0" collapsed="false">
      <c r="A519" s="34" t="str">
        <f aca="false">IF(E519="","",ROW()-3)</f>
        <v/>
      </c>
      <c r="B519" s="35"/>
      <c r="C519" s="28"/>
      <c r="D519" s="28"/>
      <c r="E519" s="28"/>
      <c r="F519" s="28"/>
      <c r="G519" s="32" t="str">
        <f aca="false">IF(E519="","",IFERROR(INDEX(Товары!$D$4:$D$200,MATCH(E519,Товары!$B$4:$B$200,0)),0))</f>
        <v/>
      </c>
      <c r="H519" s="29"/>
      <c r="I519" s="32" t="str">
        <f aca="false">IF(OR(E519="",F519=""),"",F519*G519-N(H519))</f>
        <v/>
      </c>
      <c r="J519" s="29"/>
      <c r="K519" s="32" t="str">
        <f aca="false">IF(AND(I519="",N(J519)=0),"",N(I519)+N(J519))</f>
        <v/>
      </c>
      <c r="L519" s="32" t="str">
        <f aca="false">IF(OR(E519="",F519=""),"",F519*IFERROR(INDEX(Товары!$C$4:$C$200,MATCH(E519,Товары!$B$4:$B$200,0)),0))</f>
        <v/>
      </c>
      <c r="M519" s="32" t="str">
        <f aca="false">IF(I519="","",I519-L519)</f>
        <v/>
      </c>
      <c r="N519" s="28"/>
      <c r="O519" s="28"/>
      <c r="P519" s="28"/>
      <c r="Q519" s="28"/>
      <c r="R519" s="35"/>
      <c r="S519" s="28"/>
    </row>
    <row r="520" customFormat="false" ht="15" hidden="false" customHeight="false" outlineLevel="0" collapsed="false">
      <c r="A520" s="34" t="str">
        <f aca="false">IF(E520="","",ROW()-3)</f>
        <v/>
      </c>
      <c r="B520" s="35"/>
      <c r="C520" s="28"/>
      <c r="D520" s="28"/>
      <c r="E520" s="28"/>
      <c r="F520" s="28"/>
      <c r="G520" s="32" t="str">
        <f aca="false">IF(E520="","",IFERROR(INDEX(Товары!$D$4:$D$200,MATCH(E520,Товары!$B$4:$B$200,0)),0))</f>
        <v/>
      </c>
      <c r="H520" s="29"/>
      <c r="I520" s="32" t="str">
        <f aca="false">IF(OR(E520="",F520=""),"",F520*G520-N(H520))</f>
        <v/>
      </c>
      <c r="J520" s="29"/>
      <c r="K520" s="32" t="str">
        <f aca="false">IF(AND(I520="",N(J520)=0),"",N(I520)+N(J520))</f>
        <v/>
      </c>
      <c r="L520" s="32" t="str">
        <f aca="false">IF(OR(E520="",F520=""),"",F520*IFERROR(INDEX(Товары!$C$4:$C$200,MATCH(E520,Товары!$B$4:$B$200,0)),0))</f>
        <v/>
      </c>
      <c r="M520" s="32" t="str">
        <f aca="false">IF(I520="","",I520-L520)</f>
        <v/>
      </c>
      <c r="N520" s="28"/>
      <c r="O520" s="28"/>
      <c r="P520" s="28"/>
      <c r="Q520" s="28"/>
      <c r="R520" s="35"/>
      <c r="S520" s="28"/>
    </row>
    <row r="521" customFormat="false" ht="15" hidden="false" customHeight="false" outlineLevel="0" collapsed="false">
      <c r="A521" s="34" t="str">
        <f aca="false">IF(E521="","",ROW()-3)</f>
        <v/>
      </c>
      <c r="B521" s="35"/>
      <c r="C521" s="28"/>
      <c r="D521" s="28"/>
      <c r="E521" s="28"/>
      <c r="F521" s="28"/>
      <c r="G521" s="32" t="str">
        <f aca="false">IF(E521="","",IFERROR(INDEX(Товары!$D$4:$D$200,MATCH(E521,Товары!$B$4:$B$200,0)),0))</f>
        <v/>
      </c>
      <c r="H521" s="29"/>
      <c r="I521" s="32" t="str">
        <f aca="false">IF(OR(E521="",F521=""),"",F521*G521-N(H521))</f>
        <v/>
      </c>
      <c r="J521" s="29"/>
      <c r="K521" s="32" t="str">
        <f aca="false">IF(AND(I521="",N(J521)=0),"",N(I521)+N(J521))</f>
        <v/>
      </c>
      <c r="L521" s="32" t="str">
        <f aca="false">IF(OR(E521="",F521=""),"",F521*IFERROR(INDEX(Товары!$C$4:$C$200,MATCH(E521,Товары!$B$4:$B$200,0)),0))</f>
        <v/>
      </c>
      <c r="M521" s="32" t="str">
        <f aca="false">IF(I521="","",I521-L521)</f>
        <v/>
      </c>
      <c r="N521" s="28"/>
      <c r="O521" s="28"/>
      <c r="P521" s="28"/>
      <c r="Q521" s="28"/>
      <c r="R521" s="35"/>
      <c r="S521" s="28"/>
    </row>
    <row r="522" customFormat="false" ht="15" hidden="false" customHeight="false" outlineLevel="0" collapsed="false">
      <c r="A522" s="34" t="str">
        <f aca="false">IF(E522="","",ROW()-3)</f>
        <v/>
      </c>
      <c r="B522" s="35"/>
      <c r="C522" s="28"/>
      <c r="D522" s="28"/>
      <c r="E522" s="28"/>
      <c r="F522" s="28"/>
      <c r="G522" s="32" t="str">
        <f aca="false">IF(E522="","",IFERROR(INDEX(Товары!$D$4:$D$200,MATCH(E522,Товары!$B$4:$B$200,0)),0))</f>
        <v/>
      </c>
      <c r="H522" s="29"/>
      <c r="I522" s="32" t="str">
        <f aca="false">IF(OR(E522="",F522=""),"",F522*G522-N(H522))</f>
        <v/>
      </c>
      <c r="J522" s="29"/>
      <c r="K522" s="32" t="str">
        <f aca="false">IF(AND(I522="",N(J522)=0),"",N(I522)+N(J522))</f>
        <v/>
      </c>
      <c r="L522" s="32" t="str">
        <f aca="false">IF(OR(E522="",F522=""),"",F522*IFERROR(INDEX(Товары!$C$4:$C$200,MATCH(E522,Товары!$B$4:$B$200,0)),0))</f>
        <v/>
      </c>
      <c r="M522" s="32" t="str">
        <f aca="false">IF(I522="","",I522-L522)</f>
        <v/>
      </c>
      <c r="N522" s="28"/>
      <c r="O522" s="28"/>
      <c r="P522" s="28"/>
      <c r="Q522" s="28"/>
      <c r="R522" s="35"/>
      <c r="S522" s="28"/>
    </row>
    <row r="523" customFormat="false" ht="15" hidden="false" customHeight="false" outlineLevel="0" collapsed="false">
      <c r="A523" s="34" t="str">
        <f aca="false">IF(E523="","",ROW()-3)</f>
        <v/>
      </c>
      <c r="B523" s="35"/>
      <c r="C523" s="28"/>
      <c r="D523" s="28"/>
      <c r="E523" s="28"/>
      <c r="F523" s="28"/>
      <c r="G523" s="32" t="str">
        <f aca="false">IF(E523="","",IFERROR(INDEX(Товары!$D$4:$D$200,MATCH(E523,Товары!$B$4:$B$200,0)),0))</f>
        <v/>
      </c>
      <c r="H523" s="29"/>
      <c r="I523" s="32" t="str">
        <f aca="false">IF(OR(E523="",F523=""),"",F523*G523-N(H523))</f>
        <v/>
      </c>
      <c r="J523" s="29"/>
      <c r="K523" s="32" t="str">
        <f aca="false">IF(AND(I523="",N(J523)=0),"",N(I523)+N(J523))</f>
        <v/>
      </c>
      <c r="L523" s="32" t="str">
        <f aca="false">IF(OR(E523="",F523=""),"",F523*IFERROR(INDEX(Товары!$C$4:$C$200,MATCH(E523,Товары!$B$4:$B$200,0)),0))</f>
        <v/>
      </c>
      <c r="M523" s="32" t="str">
        <f aca="false">IF(I523="","",I523-L523)</f>
        <v/>
      </c>
      <c r="N523" s="28"/>
      <c r="O523" s="28"/>
      <c r="P523" s="28"/>
      <c r="Q523" s="28"/>
      <c r="R523" s="35"/>
      <c r="S523" s="28"/>
    </row>
    <row r="524" customFormat="false" ht="15" hidden="false" customHeight="false" outlineLevel="0" collapsed="false">
      <c r="A524" s="34" t="str">
        <f aca="false">IF(E524="","",ROW()-3)</f>
        <v/>
      </c>
      <c r="B524" s="35"/>
      <c r="C524" s="28"/>
      <c r="D524" s="28"/>
      <c r="E524" s="28"/>
      <c r="F524" s="28"/>
      <c r="G524" s="32" t="str">
        <f aca="false">IF(E524="","",IFERROR(INDEX(Товары!$D$4:$D$200,MATCH(E524,Товары!$B$4:$B$200,0)),0))</f>
        <v/>
      </c>
      <c r="H524" s="29"/>
      <c r="I524" s="32" t="str">
        <f aca="false">IF(OR(E524="",F524=""),"",F524*G524-N(H524))</f>
        <v/>
      </c>
      <c r="J524" s="29"/>
      <c r="K524" s="32" t="str">
        <f aca="false">IF(AND(I524="",N(J524)=0),"",N(I524)+N(J524))</f>
        <v/>
      </c>
      <c r="L524" s="32" t="str">
        <f aca="false">IF(OR(E524="",F524=""),"",F524*IFERROR(INDEX(Товары!$C$4:$C$200,MATCH(E524,Товары!$B$4:$B$200,0)),0))</f>
        <v/>
      </c>
      <c r="M524" s="32" t="str">
        <f aca="false">IF(I524="","",I524-L524)</f>
        <v/>
      </c>
      <c r="N524" s="28"/>
      <c r="O524" s="28"/>
      <c r="P524" s="28"/>
      <c r="Q524" s="28"/>
      <c r="R524" s="35"/>
      <c r="S524" s="28"/>
    </row>
    <row r="525" customFormat="false" ht="15" hidden="false" customHeight="false" outlineLevel="0" collapsed="false">
      <c r="A525" s="34" t="str">
        <f aca="false">IF(E525="","",ROW()-3)</f>
        <v/>
      </c>
      <c r="B525" s="35"/>
      <c r="C525" s="28"/>
      <c r="D525" s="28"/>
      <c r="E525" s="28"/>
      <c r="F525" s="28"/>
      <c r="G525" s="32" t="str">
        <f aca="false">IF(E525="","",IFERROR(INDEX(Товары!$D$4:$D$200,MATCH(E525,Товары!$B$4:$B$200,0)),0))</f>
        <v/>
      </c>
      <c r="H525" s="29"/>
      <c r="I525" s="32" t="str">
        <f aca="false">IF(OR(E525="",F525=""),"",F525*G525-N(H525))</f>
        <v/>
      </c>
      <c r="J525" s="29"/>
      <c r="K525" s="32" t="str">
        <f aca="false">IF(AND(I525="",N(J525)=0),"",N(I525)+N(J525))</f>
        <v/>
      </c>
      <c r="L525" s="32" t="str">
        <f aca="false">IF(OR(E525="",F525=""),"",F525*IFERROR(INDEX(Товары!$C$4:$C$200,MATCH(E525,Товары!$B$4:$B$200,0)),0))</f>
        <v/>
      </c>
      <c r="M525" s="32" t="str">
        <f aca="false">IF(I525="","",I525-L525)</f>
        <v/>
      </c>
      <c r="N525" s="28"/>
      <c r="O525" s="28"/>
      <c r="P525" s="28"/>
      <c r="Q525" s="28"/>
      <c r="R525" s="35"/>
      <c r="S525" s="28"/>
    </row>
    <row r="526" customFormat="false" ht="15" hidden="false" customHeight="false" outlineLevel="0" collapsed="false">
      <c r="A526" s="34" t="str">
        <f aca="false">IF(E526="","",ROW()-3)</f>
        <v/>
      </c>
      <c r="B526" s="35"/>
      <c r="C526" s="28"/>
      <c r="D526" s="28"/>
      <c r="E526" s="28"/>
      <c r="F526" s="28"/>
      <c r="G526" s="32" t="str">
        <f aca="false">IF(E526="","",IFERROR(INDEX(Товары!$D$4:$D$200,MATCH(E526,Товары!$B$4:$B$200,0)),0))</f>
        <v/>
      </c>
      <c r="H526" s="29"/>
      <c r="I526" s="32" t="str">
        <f aca="false">IF(OR(E526="",F526=""),"",F526*G526-N(H526))</f>
        <v/>
      </c>
      <c r="J526" s="29"/>
      <c r="K526" s="32" t="str">
        <f aca="false">IF(AND(I526="",N(J526)=0),"",N(I526)+N(J526))</f>
        <v/>
      </c>
      <c r="L526" s="32" t="str">
        <f aca="false">IF(OR(E526="",F526=""),"",F526*IFERROR(INDEX(Товары!$C$4:$C$200,MATCH(E526,Товары!$B$4:$B$200,0)),0))</f>
        <v/>
      </c>
      <c r="M526" s="32" t="str">
        <f aca="false">IF(I526="","",I526-L526)</f>
        <v/>
      </c>
      <c r="N526" s="28"/>
      <c r="O526" s="28"/>
      <c r="P526" s="28"/>
      <c r="Q526" s="28"/>
      <c r="R526" s="35"/>
      <c r="S526" s="28"/>
    </row>
    <row r="527" customFormat="false" ht="15" hidden="false" customHeight="false" outlineLevel="0" collapsed="false">
      <c r="A527" s="34" t="str">
        <f aca="false">IF(E527="","",ROW()-3)</f>
        <v/>
      </c>
      <c r="B527" s="35"/>
      <c r="C527" s="28"/>
      <c r="D527" s="28"/>
      <c r="E527" s="28"/>
      <c r="F527" s="28"/>
      <c r="G527" s="32" t="str">
        <f aca="false">IF(E527="","",IFERROR(INDEX(Товары!$D$4:$D$200,MATCH(E527,Товары!$B$4:$B$200,0)),0))</f>
        <v/>
      </c>
      <c r="H527" s="29"/>
      <c r="I527" s="32" t="str">
        <f aca="false">IF(OR(E527="",F527=""),"",F527*G527-N(H527))</f>
        <v/>
      </c>
      <c r="J527" s="29"/>
      <c r="K527" s="32" t="str">
        <f aca="false">IF(AND(I527="",N(J527)=0),"",N(I527)+N(J527))</f>
        <v/>
      </c>
      <c r="L527" s="32" t="str">
        <f aca="false">IF(OR(E527="",F527=""),"",F527*IFERROR(INDEX(Товары!$C$4:$C$200,MATCH(E527,Товары!$B$4:$B$200,0)),0))</f>
        <v/>
      </c>
      <c r="M527" s="32" t="str">
        <f aca="false">IF(I527="","",I527-L527)</f>
        <v/>
      </c>
      <c r="N527" s="28"/>
      <c r="O527" s="28"/>
      <c r="P527" s="28"/>
      <c r="Q527" s="28"/>
      <c r="R527" s="35"/>
      <c r="S527" s="28"/>
    </row>
    <row r="528" customFormat="false" ht="15" hidden="false" customHeight="false" outlineLevel="0" collapsed="false">
      <c r="A528" s="34" t="str">
        <f aca="false">IF(E528="","",ROW()-3)</f>
        <v/>
      </c>
      <c r="B528" s="35"/>
      <c r="C528" s="28"/>
      <c r="D528" s="28"/>
      <c r="E528" s="28"/>
      <c r="F528" s="28"/>
      <c r="G528" s="32" t="str">
        <f aca="false">IF(E528="","",IFERROR(INDEX(Товары!$D$4:$D$200,MATCH(E528,Товары!$B$4:$B$200,0)),0))</f>
        <v/>
      </c>
      <c r="H528" s="29"/>
      <c r="I528" s="32" t="str">
        <f aca="false">IF(OR(E528="",F528=""),"",F528*G528-N(H528))</f>
        <v/>
      </c>
      <c r="J528" s="29"/>
      <c r="K528" s="32" t="str">
        <f aca="false">IF(AND(I528="",N(J528)=0),"",N(I528)+N(J528))</f>
        <v/>
      </c>
      <c r="L528" s="32" t="str">
        <f aca="false">IF(OR(E528="",F528=""),"",F528*IFERROR(INDEX(Товары!$C$4:$C$200,MATCH(E528,Товары!$B$4:$B$200,0)),0))</f>
        <v/>
      </c>
      <c r="M528" s="32" t="str">
        <f aca="false">IF(I528="","",I528-L528)</f>
        <v/>
      </c>
      <c r="N528" s="28"/>
      <c r="O528" s="28"/>
      <c r="P528" s="28"/>
      <c r="Q528" s="28"/>
      <c r="R528" s="35"/>
      <c r="S528" s="28"/>
    </row>
    <row r="529" customFormat="false" ht="15" hidden="false" customHeight="false" outlineLevel="0" collapsed="false">
      <c r="A529" s="34" t="str">
        <f aca="false">IF(E529="","",ROW()-3)</f>
        <v/>
      </c>
      <c r="B529" s="35"/>
      <c r="C529" s="28"/>
      <c r="D529" s="28"/>
      <c r="E529" s="28"/>
      <c r="F529" s="28"/>
      <c r="G529" s="32" t="str">
        <f aca="false">IF(E529="","",IFERROR(INDEX(Товары!$D$4:$D$200,MATCH(E529,Товары!$B$4:$B$200,0)),0))</f>
        <v/>
      </c>
      <c r="H529" s="29"/>
      <c r="I529" s="32" t="str">
        <f aca="false">IF(OR(E529="",F529=""),"",F529*G529-N(H529))</f>
        <v/>
      </c>
      <c r="J529" s="29"/>
      <c r="K529" s="32" t="str">
        <f aca="false">IF(AND(I529="",N(J529)=0),"",N(I529)+N(J529))</f>
        <v/>
      </c>
      <c r="L529" s="32" t="str">
        <f aca="false">IF(OR(E529="",F529=""),"",F529*IFERROR(INDEX(Товары!$C$4:$C$200,MATCH(E529,Товары!$B$4:$B$200,0)),0))</f>
        <v/>
      </c>
      <c r="M529" s="32" t="str">
        <f aca="false">IF(I529="","",I529-L529)</f>
        <v/>
      </c>
      <c r="N529" s="28"/>
      <c r="O529" s="28"/>
      <c r="P529" s="28"/>
      <c r="Q529" s="28"/>
      <c r="R529" s="35"/>
      <c r="S529" s="28"/>
    </row>
    <row r="530" customFormat="false" ht="15" hidden="false" customHeight="false" outlineLevel="0" collapsed="false">
      <c r="A530" s="34" t="str">
        <f aca="false">IF(E530="","",ROW()-3)</f>
        <v/>
      </c>
      <c r="B530" s="35"/>
      <c r="C530" s="28"/>
      <c r="D530" s="28"/>
      <c r="E530" s="28"/>
      <c r="F530" s="28"/>
      <c r="G530" s="32" t="str">
        <f aca="false">IF(E530="","",IFERROR(INDEX(Товары!$D$4:$D$200,MATCH(E530,Товары!$B$4:$B$200,0)),0))</f>
        <v/>
      </c>
      <c r="H530" s="29"/>
      <c r="I530" s="32" t="str">
        <f aca="false">IF(OR(E530="",F530=""),"",F530*G530-N(H530))</f>
        <v/>
      </c>
      <c r="J530" s="29"/>
      <c r="K530" s="32" t="str">
        <f aca="false">IF(AND(I530="",N(J530)=0),"",N(I530)+N(J530))</f>
        <v/>
      </c>
      <c r="L530" s="32" t="str">
        <f aca="false">IF(OR(E530="",F530=""),"",F530*IFERROR(INDEX(Товары!$C$4:$C$200,MATCH(E530,Товары!$B$4:$B$200,0)),0))</f>
        <v/>
      </c>
      <c r="M530" s="32" t="str">
        <f aca="false">IF(I530="","",I530-L530)</f>
        <v/>
      </c>
      <c r="N530" s="28"/>
      <c r="O530" s="28"/>
      <c r="P530" s="28"/>
      <c r="Q530" s="28"/>
      <c r="R530" s="35"/>
      <c r="S530" s="28"/>
    </row>
    <row r="531" customFormat="false" ht="15" hidden="false" customHeight="false" outlineLevel="0" collapsed="false">
      <c r="A531" s="34" t="str">
        <f aca="false">IF(E531="","",ROW()-3)</f>
        <v/>
      </c>
      <c r="B531" s="35"/>
      <c r="C531" s="28"/>
      <c r="D531" s="28"/>
      <c r="E531" s="28"/>
      <c r="F531" s="28"/>
      <c r="G531" s="32" t="str">
        <f aca="false">IF(E531="","",IFERROR(INDEX(Товары!$D$4:$D$200,MATCH(E531,Товары!$B$4:$B$200,0)),0))</f>
        <v/>
      </c>
      <c r="H531" s="29"/>
      <c r="I531" s="32" t="str">
        <f aca="false">IF(OR(E531="",F531=""),"",F531*G531-N(H531))</f>
        <v/>
      </c>
      <c r="J531" s="29"/>
      <c r="K531" s="32" t="str">
        <f aca="false">IF(AND(I531="",N(J531)=0),"",N(I531)+N(J531))</f>
        <v/>
      </c>
      <c r="L531" s="32" t="str">
        <f aca="false">IF(OR(E531="",F531=""),"",F531*IFERROR(INDEX(Товары!$C$4:$C$200,MATCH(E531,Товары!$B$4:$B$200,0)),0))</f>
        <v/>
      </c>
      <c r="M531" s="32" t="str">
        <f aca="false">IF(I531="","",I531-L531)</f>
        <v/>
      </c>
      <c r="N531" s="28"/>
      <c r="O531" s="28"/>
      <c r="P531" s="28"/>
      <c r="Q531" s="28"/>
      <c r="R531" s="35"/>
      <c r="S531" s="28"/>
    </row>
    <row r="532" customFormat="false" ht="15" hidden="false" customHeight="false" outlineLevel="0" collapsed="false">
      <c r="A532" s="34" t="str">
        <f aca="false">IF(E532="","",ROW()-3)</f>
        <v/>
      </c>
      <c r="B532" s="35"/>
      <c r="C532" s="28"/>
      <c r="D532" s="28"/>
      <c r="E532" s="28"/>
      <c r="F532" s="28"/>
      <c r="G532" s="32" t="str">
        <f aca="false">IF(E532="","",IFERROR(INDEX(Товары!$D$4:$D$200,MATCH(E532,Товары!$B$4:$B$200,0)),0))</f>
        <v/>
      </c>
      <c r="H532" s="29"/>
      <c r="I532" s="32" t="str">
        <f aca="false">IF(OR(E532="",F532=""),"",F532*G532-N(H532))</f>
        <v/>
      </c>
      <c r="J532" s="29"/>
      <c r="K532" s="32" t="str">
        <f aca="false">IF(AND(I532="",N(J532)=0),"",N(I532)+N(J532))</f>
        <v/>
      </c>
      <c r="L532" s="32" t="str">
        <f aca="false">IF(OR(E532="",F532=""),"",F532*IFERROR(INDEX(Товары!$C$4:$C$200,MATCH(E532,Товары!$B$4:$B$200,0)),0))</f>
        <v/>
      </c>
      <c r="M532" s="32" t="str">
        <f aca="false">IF(I532="","",I532-L532)</f>
        <v/>
      </c>
      <c r="N532" s="28"/>
      <c r="O532" s="28"/>
      <c r="P532" s="28"/>
      <c r="Q532" s="28"/>
      <c r="R532" s="35"/>
      <c r="S532" s="28"/>
    </row>
    <row r="533" customFormat="false" ht="15" hidden="false" customHeight="false" outlineLevel="0" collapsed="false">
      <c r="A533" s="34" t="str">
        <f aca="false">IF(E533="","",ROW()-3)</f>
        <v/>
      </c>
      <c r="B533" s="35"/>
      <c r="C533" s="28"/>
      <c r="D533" s="28"/>
      <c r="E533" s="28"/>
      <c r="F533" s="28"/>
      <c r="G533" s="32" t="str">
        <f aca="false">IF(E533="","",IFERROR(INDEX(Товары!$D$4:$D$200,MATCH(E533,Товары!$B$4:$B$200,0)),0))</f>
        <v/>
      </c>
      <c r="H533" s="29"/>
      <c r="I533" s="32" t="str">
        <f aca="false">IF(OR(E533="",F533=""),"",F533*G533-N(H533))</f>
        <v/>
      </c>
      <c r="J533" s="29"/>
      <c r="K533" s="32" t="str">
        <f aca="false">IF(AND(I533="",N(J533)=0),"",N(I533)+N(J533))</f>
        <v/>
      </c>
      <c r="L533" s="32" t="str">
        <f aca="false">IF(OR(E533="",F533=""),"",F533*IFERROR(INDEX(Товары!$C$4:$C$200,MATCH(E533,Товары!$B$4:$B$200,0)),0))</f>
        <v/>
      </c>
      <c r="M533" s="32" t="str">
        <f aca="false">IF(I533="","",I533-L533)</f>
        <v/>
      </c>
      <c r="N533" s="28"/>
      <c r="O533" s="28"/>
      <c r="P533" s="28"/>
      <c r="Q533" s="28"/>
      <c r="R533" s="35"/>
      <c r="S533" s="28"/>
    </row>
    <row r="534" customFormat="false" ht="15" hidden="false" customHeight="false" outlineLevel="0" collapsed="false">
      <c r="A534" s="34" t="str">
        <f aca="false">IF(E534="","",ROW()-3)</f>
        <v/>
      </c>
      <c r="B534" s="35"/>
      <c r="C534" s="28"/>
      <c r="D534" s="28"/>
      <c r="E534" s="28"/>
      <c r="F534" s="28"/>
      <c r="G534" s="32" t="str">
        <f aca="false">IF(E534="","",IFERROR(INDEX(Товары!$D$4:$D$200,MATCH(E534,Товары!$B$4:$B$200,0)),0))</f>
        <v/>
      </c>
      <c r="H534" s="29"/>
      <c r="I534" s="32" t="str">
        <f aca="false">IF(OR(E534="",F534=""),"",F534*G534-N(H534))</f>
        <v/>
      </c>
      <c r="J534" s="29"/>
      <c r="K534" s="32" t="str">
        <f aca="false">IF(AND(I534="",N(J534)=0),"",N(I534)+N(J534))</f>
        <v/>
      </c>
      <c r="L534" s="32" t="str">
        <f aca="false">IF(OR(E534="",F534=""),"",F534*IFERROR(INDEX(Товары!$C$4:$C$200,MATCH(E534,Товары!$B$4:$B$200,0)),0))</f>
        <v/>
      </c>
      <c r="M534" s="32" t="str">
        <f aca="false">IF(I534="","",I534-L534)</f>
        <v/>
      </c>
      <c r="N534" s="28"/>
      <c r="O534" s="28"/>
      <c r="P534" s="28"/>
      <c r="Q534" s="28"/>
      <c r="R534" s="35"/>
      <c r="S534" s="28"/>
    </row>
    <row r="535" customFormat="false" ht="15" hidden="false" customHeight="false" outlineLevel="0" collapsed="false">
      <c r="A535" s="34" t="str">
        <f aca="false">IF(E535="","",ROW()-3)</f>
        <v/>
      </c>
      <c r="B535" s="35"/>
      <c r="C535" s="28"/>
      <c r="D535" s="28"/>
      <c r="E535" s="28"/>
      <c r="F535" s="28"/>
      <c r="G535" s="32" t="str">
        <f aca="false">IF(E535="","",IFERROR(INDEX(Товары!$D$4:$D$200,MATCH(E535,Товары!$B$4:$B$200,0)),0))</f>
        <v/>
      </c>
      <c r="H535" s="29"/>
      <c r="I535" s="32" t="str">
        <f aca="false">IF(OR(E535="",F535=""),"",F535*G535-N(H535))</f>
        <v/>
      </c>
      <c r="J535" s="29"/>
      <c r="K535" s="32" t="str">
        <f aca="false">IF(AND(I535="",N(J535)=0),"",N(I535)+N(J535))</f>
        <v/>
      </c>
      <c r="L535" s="32" t="str">
        <f aca="false">IF(OR(E535="",F535=""),"",F535*IFERROR(INDEX(Товары!$C$4:$C$200,MATCH(E535,Товары!$B$4:$B$200,0)),0))</f>
        <v/>
      </c>
      <c r="M535" s="32" t="str">
        <f aca="false">IF(I535="","",I535-L535)</f>
        <v/>
      </c>
      <c r="N535" s="28"/>
      <c r="O535" s="28"/>
      <c r="P535" s="28"/>
      <c r="Q535" s="28"/>
      <c r="R535" s="35"/>
      <c r="S535" s="28"/>
    </row>
    <row r="536" customFormat="false" ht="15" hidden="false" customHeight="false" outlineLevel="0" collapsed="false">
      <c r="A536" s="34" t="str">
        <f aca="false">IF(E536="","",ROW()-3)</f>
        <v/>
      </c>
      <c r="B536" s="35"/>
      <c r="C536" s="28"/>
      <c r="D536" s="28"/>
      <c r="E536" s="28"/>
      <c r="F536" s="28"/>
      <c r="G536" s="32" t="str">
        <f aca="false">IF(E536="","",IFERROR(INDEX(Товары!$D$4:$D$200,MATCH(E536,Товары!$B$4:$B$200,0)),0))</f>
        <v/>
      </c>
      <c r="H536" s="29"/>
      <c r="I536" s="32" t="str">
        <f aca="false">IF(OR(E536="",F536=""),"",F536*G536-N(H536))</f>
        <v/>
      </c>
      <c r="J536" s="29"/>
      <c r="K536" s="32" t="str">
        <f aca="false">IF(AND(I536="",N(J536)=0),"",N(I536)+N(J536))</f>
        <v/>
      </c>
      <c r="L536" s="32" t="str">
        <f aca="false">IF(OR(E536="",F536=""),"",F536*IFERROR(INDEX(Товары!$C$4:$C$200,MATCH(E536,Товары!$B$4:$B$200,0)),0))</f>
        <v/>
      </c>
      <c r="M536" s="32" t="str">
        <f aca="false">IF(I536="","",I536-L536)</f>
        <v/>
      </c>
      <c r="N536" s="28"/>
      <c r="O536" s="28"/>
      <c r="P536" s="28"/>
      <c r="Q536" s="28"/>
      <c r="R536" s="35"/>
      <c r="S536" s="28"/>
    </row>
    <row r="537" customFormat="false" ht="15" hidden="false" customHeight="false" outlineLevel="0" collapsed="false">
      <c r="A537" s="34" t="str">
        <f aca="false">IF(E537="","",ROW()-3)</f>
        <v/>
      </c>
      <c r="B537" s="35"/>
      <c r="C537" s="28"/>
      <c r="D537" s="28"/>
      <c r="E537" s="28"/>
      <c r="F537" s="28"/>
      <c r="G537" s="32" t="str">
        <f aca="false">IF(E537="","",IFERROR(INDEX(Товары!$D$4:$D$200,MATCH(E537,Товары!$B$4:$B$200,0)),0))</f>
        <v/>
      </c>
      <c r="H537" s="29"/>
      <c r="I537" s="32" t="str">
        <f aca="false">IF(OR(E537="",F537=""),"",F537*G537-N(H537))</f>
        <v/>
      </c>
      <c r="J537" s="29"/>
      <c r="K537" s="32" t="str">
        <f aca="false">IF(AND(I537="",N(J537)=0),"",N(I537)+N(J537))</f>
        <v/>
      </c>
      <c r="L537" s="32" t="str">
        <f aca="false">IF(OR(E537="",F537=""),"",F537*IFERROR(INDEX(Товары!$C$4:$C$200,MATCH(E537,Товары!$B$4:$B$200,0)),0))</f>
        <v/>
      </c>
      <c r="M537" s="32" t="str">
        <f aca="false">IF(I537="","",I537-L537)</f>
        <v/>
      </c>
      <c r="N537" s="28"/>
      <c r="O537" s="28"/>
      <c r="P537" s="28"/>
      <c r="Q537" s="28"/>
      <c r="R537" s="35"/>
      <c r="S537" s="28"/>
    </row>
    <row r="538" customFormat="false" ht="15" hidden="false" customHeight="false" outlineLevel="0" collapsed="false">
      <c r="A538" s="34" t="str">
        <f aca="false">IF(E538="","",ROW()-3)</f>
        <v/>
      </c>
      <c r="B538" s="35"/>
      <c r="C538" s="28"/>
      <c r="D538" s="28"/>
      <c r="E538" s="28"/>
      <c r="F538" s="28"/>
      <c r="G538" s="32" t="str">
        <f aca="false">IF(E538="","",IFERROR(INDEX(Товары!$D$4:$D$200,MATCH(E538,Товары!$B$4:$B$200,0)),0))</f>
        <v/>
      </c>
      <c r="H538" s="29"/>
      <c r="I538" s="32" t="str">
        <f aca="false">IF(OR(E538="",F538=""),"",F538*G538-N(H538))</f>
        <v/>
      </c>
      <c r="J538" s="29"/>
      <c r="K538" s="32" t="str">
        <f aca="false">IF(AND(I538="",N(J538)=0),"",N(I538)+N(J538))</f>
        <v/>
      </c>
      <c r="L538" s="32" t="str">
        <f aca="false">IF(OR(E538="",F538=""),"",F538*IFERROR(INDEX(Товары!$C$4:$C$200,MATCH(E538,Товары!$B$4:$B$200,0)),0))</f>
        <v/>
      </c>
      <c r="M538" s="32" t="str">
        <f aca="false">IF(I538="","",I538-L538)</f>
        <v/>
      </c>
      <c r="N538" s="28"/>
      <c r="O538" s="28"/>
      <c r="P538" s="28"/>
      <c r="Q538" s="28"/>
      <c r="R538" s="35"/>
      <c r="S538" s="28"/>
    </row>
    <row r="539" customFormat="false" ht="15" hidden="false" customHeight="false" outlineLevel="0" collapsed="false">
      <c r="A539" s="34" t="str">
        <f aca="false">IF(E539="","",ROW()-3)</f>
        <v/>
      </c>
      <c r="B539" s="35"/>
      <c r="C539" s="28"/>
      <c r="D539" s="28"/>
      <c r="E539" s="28"/>
      <c r="F539" s="28"/>
      <c r="G539" s="32" t="str">
        <f aca="false">IF(E539="","",IFERROR(INDEX(Товары!$D$4:$D$200,MATCH(E539,Товары!$B$4:$B$200,0)),0))</f>
        <v/>
      </c>
      <c r="H539" s="29"/>
      <c r="I539" s="32" t="str">
        <f aca="false">IF(OR(E539="",F539=""),"",F539*G539-N(H539))</f>
        <v/>
      </c>
      <c r="J539" s="29"/>
      <c r="K539" s="32" t="str">
        <f aca="false">IF(AND(I539="",N(J539)=0),"",N(I539)+N(J539))</f>
        <v/>
      </c>
      <c r="L539" s="32" t="str">
        <f aca="false">IF(OR(E539="",F539=""),"",F539*IFERROR(INDEX(Товары!$C$4:$C$200,MATCH(E539,Товары!$B$4:$B$200,0)),0))</f>
        <v/>
      </c>
      <c r="M539" s="32" t="str">
        <f aca="false">IF(I539="","",I539-L539)</f>
        <v/>
      </c>
      <c r="N539" s="28"/>
      <c r="O539" s="28"/>
      <c r="P539" s="28"/>
      <c r="Q539" s="28"/>
      <c r="R539" s="35"/>
      <c r="S539" s="28"/>
    </row>
    <row r="540" customFormat="false" ht="15" hidden="false" customHeight="false" outlineLevel="0" collapsed="false">
      <c r="A540" s="34" t="str">
        <f aca="false">IF(E540="","",ROW()-3)</f>
        <v/>
      </c>
      <c r="B540" s="35"/>
      <c r="C540" s="28"/>
      <c r="D540" s="28"/>
      <c r="E540" s="28"/>
      <c r="F540" s="28"/>
      <c r="G540" s="32" t="str">
        <f aca="false">IF(E540="","",IFERROR(INDEX(Товары!$D$4:$D$200,MATCH(E540,Товары!$B$4:$B$200,0)),0))</f>
        <v/>
      </c>
      <c r="H540" s="29"/>
      <c r="I540" s="32" t="str">
        <f aca="false">IF(OR(E540="",F540=""),"",F540*G540-N(H540))</f>
        <v/>
      </c>
      <c r="J540" s="29"/>
      <c r="K540" s="32" t="str">
        <f aca="false">IF(AND(I540="",N(J540)=0),"",N(I540)+N(J540))</f>
        <v/>
      </c>
      <c r="L540" s="32" t="str">
        <f aca="false">IF(OR(E540="",F540=""),"",F540*IFERROR(INDEX(Товары!$C$4:$C$200,MATCH(E540,Товары!$B$4:$B$200,0)),0))</f>
        <v/>
      </c>
      <c r="M540" s="32" t="str">
        <f aca="false">IF(I540="","",I540-L540)</f>
        <v/>
      </c>
      <c r="N540" s="28"/>
      <c r="O540" s="28"/>
      <c r="P540" s="28"/>
      <c r="Q540" s="28"/>
      <c r="R540" s="35"/>
      <c r="S540" s="28"/>
    </row>
    <row r="541" customFormat="false" ht="15" hidden="false" customHeight="false" outlineLevel="0" collapsed="false">
      <c r="A541" s="34" t="str">
        <f aca="false">IF(E541="","",ROW()-3)</f>
        <v/>
      </c>
      <c r="B541" s="35"/>
      <c r="C541" s="28"/>
      <c r="D541" s="28"/>
      <c r="E541" s="28"/>
      <c r="F541" s="28"/>
      <c r="G541" s="32" t="str">
        <f aca="false">IF(E541="","",IFERROR(INDEX(Товары!$D$4:$D$200,MATCH(E541,Товары!$B$4:$B$200,0)),0))</f>
        <v/>
      </c>
      <c r="H541" s="29"/>
      <c r="I541" s="32" t="str">
        <f aca="false">IF(OR(E541="",F541=""),"",F541*G541-N(H541))</f>
        <v/>
      </c>
      <c r="J541" s="29"/>
      <c r="K541" s="32" t="str">
        <f aca="false">IF(AND(I541="",N(J541)=0),"",N(I541)+N(J541))</f>
        <v/>
      </c>
      <c r="L541" s="32" t="str">
        <f aca="false">IF(OR(E541="",F541=""),"",F541*IFERROR(INDEX(Товары!$C$4:$C$200,MATCH(E541,Товары!$B$4:$B$200,0)),0))</f>
        <v/>
      </c>
      <c r="M541" s="32" t="str">
        <f aca="false">IF(I541="","",I541-L541)</f>
        <v/>
      </c>
      <c r="N541" s="28"/>
      <c r="O541" s="28"/>
      <c r="P541" s="28"/>
      <c r="Q541" s="28"/>
      <c r="R541" s="35"/>
      <c r="S541" s="28"/>
    </row>
    <row r="542" customFormat="false" ht="15" hidden="false" customHeight="false" outlineLevel="0" collapsed="false">
      <c r="A542" s="34" t="str">
        <f aca="false">IF(E542="","",ROW()-3)</f>
        <v/>
      </c>
      <c r="B542" s="35"/>
      <c r="C542" s="28"/>
      <c r="D542" s="28"/>
      <c r="E542" s="28"/>
      <c r="F542" s="28"/>
      <c r="G542" s="32" t="str">
        <f aca="false">IF(E542="","",IFERROR(INDEX(Товары!$D$4:$D$200,MATCH(E542,Товары!$B$4:$B$200,0)),0))</f>
        <v/>
      </c>
      <c r="H542" s="29"/>
      <c r="I542" s="32" t="str">
        <f aca="false">IF(OR(E542="",F542=""),"",F542*G542-N(H542))</f>
        <v/>
      </c>
      <c r="J542" s="29"/>
      <c r="K542" s="32" t="str">
        <f aca="false">IF(AND(I542="",N(J542)=0),"",N(I542)+N(J542))</f>
        <v/>
      </c>
      <c r="L542" s="32" t="str">
        <f aca="false">IF(OR(E542="",F542=""),"",F542*IFERROR(INDEX(Товары!$C$4:$C$200,MATCH(E542,Товары!$B$4:$B$200,0)),0))</f>
        <v/>
      </c>
      <c r="M542" s="32" t="str">
        <f aca="false">IF(I542="","",I542-L542)</f>
        <v/>
      </c>
      <c r="N542" s="28"/>
      <c r="O542" s="28"/>
      <c r="P542" s="28"/>
      <c r="Q542" s="28"/>
      <c r="R542" s="35"/>
      <c r="S542" s="28"/>
    </row>
    <row r="543" customFormat="false" ht="15" hidden="false" customHeight="false" outlineLevel="0" collapsed="false">
      <c r="A543" s="34" t="str">
        <f aca="false">IF(E543="","",ROW()-3)</f>
        <v/>
      </c>
      <c r="B543" s="35"/>
      <c r="C543" s="28"/>
      <c r="D543" s="28"/>
      <c r="E543" s="28"/>
      <c r="F543" s="28"/>
      <c r="G543" s="32" t="str">
        <f aca="false">IF(E543="","",IFERROR(INDEX(Товары!$D$4:$D$200,MATCH(E543,Товары!$B$4:$B$200,0)),0))</f>
        <v/>
      </c>
      <c r="H543" s="29"/>
      <c r="I543" s="32" t="str">
        <f aca="false">IF(OR(E543="",F543=""),"",F543*G543-N(H543))</f>
        <v/>
      </c>
      <c r="J543" s="29"/>
      <c r="K543" s="32" t="str">
        <f aca="false">IF(AND(I543="",N(J543)=0),"",N(I543)+N(J543))</f>
        <v/>
      </c>
      <c r="L543" s="32" t="str">
        <f aca="false">IF(OR(E543="",F543=""),"",F543*IFERROR(INDEX(Товары!$C$4:$C$200,MATCH(E543,Товары!$B$4:$B$200,0)),0))</f>
        <v/>
      </c>
      <c r="M543" s="32" t="str">
        <f aca="false">IF(I543="","",I543-L543)</f>
        <v/>
      </c>
      <c r="N543" s="28"/>
      <c r="O543" s="28"/>
      <c r="P543" s="28"/>
      <c r="Q543" s="28"/>
      <c r="R543" s="35"/>
      <c r="S543" s="28"/>
    </row>
    <row r="544" customFormat="false" ht="15" hidden="false" customHeight="false" outlineLevel="0" collapsed="false">
      <c r="A544" s="34" t="str">
        <f aca="false">IF(E544="","",ROW()-3)</f>
        <v/>
      </c>
      <c r="B544" s="35"/>
      <c r="C544" s="28"/>
      <c r="D544" s="28"/>
      <c r="E544" s="28"/>
      <c r="F544" s="28"/>
      <c r="G544" s="32" t="str">
        <f aca="false">IF(E544="","",IFERROR(INDEX(Товары!$D$4:$D$200,MATCH(E544,Товары!$B$4:$B$200,0)),0))</f>
        <v/>
      </c>
      <c r="H544" s="29"/>
      <c r="I544" s="32" t="str">
        <f aca="false">IF(OR(E544="",F544=""),"",F544*G544-N(H544))</f>
        <v/>
      </c>
      <c r="J544" s="29"/>
      <c r="K544" s="32" t="str">
        <f aca="false">IF(AND(I544="",N(J544)=0),"",N(I544)+N(J544))</f>
        <v/>
      </c>
      <c r="L544" s="32" t="str">
        <f aca="false">IF(OR(E544="",F544=""),"",F544*IFERROR(INDEX(Товары!$C$4:$C$200,MATCH(E544,Товары!$B$4:$B$200,0)),0))</f>
        <v/>
      </c>
      <c r="M544" s="32" t="str">
        <f aca="false">IF(I544="","",I544-L544)</f>
        <v/>
      </c>
      <c r="N544" s="28"/>
      <c r="O544" s="28"/>
      <c r="P544" s="28"/>
      <c r="Q544" s="28"/>
      <c r="R544" s="35"/>
      <c r="S544" s="28"/>
    </row>
    <row r="545" customFormat="false" ht="15" hidden="false" customHeight="false" outlineLevel="0" collapsed="false">
      <c r="A545" s="34" t="str">
        <f aca="false">IF(E545="","",ROW()-3)</f>
        <v/>
      </c>
      <c r="B545" s="35"/>
      <c r="C545" s="28"/>
      <c r="D545" s="28"/>
      <c r="E545" s="28"/>
      <c r="F545" s="28"/>
      <c r="G545" s="32" t="str">
        <f aca="false">IF(E545="","",IFERROR(INDEX(Товары!$D$4:$D$200,MATCH(E545,Товары!$B$4:$B$200,0)),0))</f>
        <v/>
      </c>
      <c r="H545" s="29"/>
      <c r="I545" s="32" t="str">
        <f aca="false">IF(OR(E545="",F545=""),"",F545*G545-N(H545))</f>
        <v/>
      </c>
      <c r="J545" s="29"/>
      <c r="K545" s="32" t="str">
        <f aca="false">IF(AND(I545="",N(J545)=0),"",N(I545)+N(J545))</f>
        <v/>
      </c>
      <c r="L545" s="32" t="str">
        <f aca="false">IF(OR(E545="",F545=""),"",F545*IFERROR(INDEX(Товары!$C$4:$C$200,MATCH(E545,Товары!$B$4:$B$200,0)),0))</f>
        <v/>
      </c>
      <c r="M545" s="32" t="str">
        <f aca="false">IF(I545="","",I545-L545)</f>
        <v/>
      </c>
      <c r="N545" s="28"/>
      <c r="O545" s="28"/>
      <c r="P545" s="28"/>
      <c r="Q545" s="28"/>
      <c r="R545" s="35"/>
      <c r="S545" s="28"/>
    </row>
    <row r="546" customFormat="false" ht="15" hidden="false" customHeight="false" outlineLevel="0" collapsed="false">
      <c r="A546" s="34" t="str">
        <f aca="false">IF(E546="","",ROW()-3)</f>
        <v/>
      </c>
      <c r="B546" s="35"/>
      <c r="C546" s="28"/>
      <c r="D546" s="28"/>
      <c r="E546" s="28"/>
      <c r="F546" s="28"/>
      <c r="G546" s="32" t="str">
        <f aca="false">IF(E546="","",IFERROR(INDEX(Товары!$D$4:$D$200,MATCH(E546,Товары!$B$4:$B$200,0)),0))</f>
        <v/>
      </c>
      <c r="H546" s="29"/>
      <c r="I546" s="32" t="str">
        <f aca="false">IF(OR(E546="",F546=""),"",F546*G546-N(H546))</f>
        <v/>
      </c>
      <c r="J546" s="29"/>
      <c r="K546" s="32" t="str">
        <f aca="false">IF(AND(I546="",N(J546)=0),"",N(I546)+N(J546))</f>
        <v/>
      </c>
      <c r="L546" s="32" t="str">
        <f aca="false">IF(OR(E546="",F546=""),"",F546*IFERROR(INDEX(Товары!$C$4:$C$200,MATCH(E546,Товары!$B$4:$B$200,0)),0))</f>
        <v/>
      </c>
      <c r="M546" s="32" t="str">
        <f aca="false">IF(I546="","",I546-L546)</f>
        <v/>
      </c>
      <c r="N546" s="28"/>
      <c r="O546" s="28"/>
      <c r="P546" s="28"/>
      <c r="Q546" s="28"/>
      <c r="R546" s="35"/>
      <c r="S546" s="28"/>
    </row>
    <row r="547" customFormat="false" ht="15" hidden="false" customHeight="false" outlineLevel="0" collapsed="false">
      <c r="A547" s="34" t="str">
        <f aca="false">IF(E547="","",ROW()-3)</f>
        <v/>
      </c>
      <c r="B547" s="35"/>
      <c r="C547" s="28"/>
      <c r="D547" s="28"/>
      <c r="E547" s="28"/>
      <c r="F547" s="28"/>
      <c r="G547" s="32" t="str">
        <f aca="false">IF(E547="","",IFERROR(INDEX(Товары!$D$4:$D$200,MATCH(E547,Товары!$B$4:$B$200,0)),0))</f>
        <v/>
      </c>
      <c r="H547" s="29"/>
      <c r="I547" s="32" t="str">
        <f aca="false">IF(OR(E547="",F547=""),"",F547*G547-N(H547))</f>
        <v/>
      </c>
      <c r="J547" s="29"/>
      <c r="K547" s="32" t="str">
        <f aca="false">IF(AND(I547="",N(J547)=0),"",N(I547)+N(J547))</f>
        <v/>
      </c>
      <c r="L547" s="32" t="str">
        <f aca="false">IF(OR(E547="",F547=""),"",F547*IFERROR(INDEX(Товары!$C$4:$C$200,MATCH(E547,Товары!$B$4:$B$200,0)),0))</f>
        <v/>
      </c>
      <c r="M547" s="32" t="str">
        <f aca="false">IF(I547="","",I547-L547)</f>
        <v/>
      </c>
      <c r="N547" s="28"/>
      <c r="O547" s="28"/>
      <c r="P547" s="28"/>
      <c r="Q547" s="28"/>
      <c r="R547" s="35"/>
      <c r="S547" s="28"/>
    </row>
    <row r="548" customFormat="false" ht="15" hidden="false" customHeight="false" outlineLevel="0" collapsed="false">
      <c r="A548" s="34" t="str">
        <f aca="false">IF(E548="","",ROW()-3)</f>
        <v/>
      </c>
      <c r="B548" s="35"/>
      <c r="C548" s="28"/>
      <c r="D548" s="28"/>
      <c r="E548" s="28"/>
      <c r="F548" s="28"/>
      <c r="G548" s="32" t="str">
        <f aca="false">IF(E548="","",IFERROR(INDEX(Товары!$D$4:$D$200,MATCH(E548,Товары!$B$4:$B$200,0)),0))</f>
        <v/>
      </c>
      <c r="H548" s="29"/>
      <c r="I548" s="32" t="str">
        <f aca="false">IF(OR(E548="",F548=""),"",F548*G548-N(H548))</f>
        <v/>
      </c>
      <c r="J548" s="29"/>
      <c r="K548" s="32" t="str">
        <f aca="false">IF(AND(I548="",N(J548)=0),"",N(I548)+N(J548))</f>
        <v/>
      </c>
      <c r="L548" s="32" t="str">
        <f aca="false">IF(OR(E548="",F548=""),"",F548*IFERROR(INDEX(Товары!$C$4:$C$200,MATCH(E548,Товары!$B$4:$B$200,0)),0))</f>
        <v/>
      </c>
      <c r="M548" s="32" t="str">
        <f aca="false">IF(I548="","",I548-L548)</f>
        <v/>
      </c>
      <c r="N548" s="28"/>
      <c r="O548" s="28"/>
      <c r="P548" s="28"/>
      <c r="Q548" s="28"/>
      <c r="R548" s="35"/>
      <c r="S548" s="28"/>
    </row>
    <row r="549" customFormat="false" ht="15" hidden="false" customHeight="false" outlineLevel="0" collapsed="false">
      <c r="A549" s="34" t="str">
        <f aca="false">IF(E549="","",ROW()-3)</f>
        <v/>
      </c>
      <c r="B549" s="35"/>
      <c r="C549" s="28"/>
      <c r="D549" s="28"/>
      <c r="E549" s="28"/>
      <c r="F549" s="28"/>
      <c r="G549" s="32" t="str">
        <f aca="false">IF(E549="","",IFERROR(INDEX(Товары!$D$4:$D$200,MATCH(E549,Товары!$B$4:$B$200,0)),0))</f>
        <v/>
      </c>
      <c r="H549" s="29"/>
      <c r="I549" s="32" t="str">
        <f aca="false">IF(OR(E549="",F549=""),"",F549*G549-N(H549))</f>
        <v/>
      </c>
      <c r="J549" s="29"/>
      <c r="K549" s="32" t="str">
        <f aca="false">IF(AND(I549="",N(J549)=0),"",N(I549)+N(J549))</f>
        <v/>
      </c>
      <c r="L549" s="32" t="str">
        <f aca="false">IF(OR(E549="",F549=""),"",F549*IFERROR(INDEX(Товары!$C$4:$C$200,MATCH(E549,Товары!$B$4:$B$200,0)),0))</f>
        <v/>
      </c>
      <c r="M549" s="32" t="str">
        <f aca="false">IF(I549="","",I549-L549)</f>
        <v/>
      </c>
      <c r="N549" s="28"/>
      <c r="O549" s="28"/>
      <c r="P549" s="28"/>
      <c r="Q549" s="28"/>
      <c r="R549" s="35"/>
      <c r="S549" s="28"/>
    </row>
    <row r="550" customFormat="false" ht="15" hidden="false" customHeight="false" outlineLevel="0" collapsed="false">
      <c r="A550" s="34" t="str">
        <f aca="false">IF(E550="","",ROW()-3)</f>
        <v/>
      </c>
      <c r="B550" s="35"/>
      <c r="C550" s="28"/>
      <c r="D550" s="28"/>
      <c r="E550" s="28"/>
      <c r="F550" s="28"/>
      <c r="G550" s="32" t="str">
        <f aca="false">IF(E550="","",IFERROR(INDEX(Товары!$D$4:$D$200,MATCH(E550,Товары!$B$4:$B$200,0)),0))</f>
        <v/>
      </c>
      <c r="H550" s="29"/>
      <c r="I550" s="32" t="str">
        <f aca="false">IF(OR(E550="",F550=""),"",F550*G550-N(H550))</f>
        <v/>
      </c>
      <c r="J550" s="29"/>
      <c r="K550" s="32" t="str">
        <f aca="false">IF(AND(I550="",N(J550)=0),"",N(I550)+N(J550))</f>
        <v/>
      </c>
      <c r="L550" s="32" t="str">
        <f aca="false">IF(OR(E550="",F550=""),"",F550*IFERROR(INDEX(Товары!$C$4:$C$200,MATCH(E550,Товары!$B$4:$B$200,0)),0))</f>
        <v/>
      </c>
      <c r="M550" s="32" t="str">
        <f aca="false">IF(I550="","",I550-L550)</f>
        <v/>
      </c>
      <c r="N550" s="28"/>
      <c r="O550" s="28"/>
      <c r="P550" s="28"/>
      <c r="Q550" s="28"/>
      <c r="R550" s="35"/>
      <c r="S550" s="28"/>
    </row>
    <row r="551" customFormat="false" ht="15" hidden="false" customHeight="false" outlineLevel="0" collapsed="false">
      <c r="A551" s="34" t="str">
        <f aca="false">IF(E551="","",ROW()-3)</f>
        <v/>
      </c>
      <c r="B551" s="35"/>
      <c r="C551" s="28"/>
      <c r="D551" s="28"/>
      <c r="E551" s="28"/>
      <c r="F551" s="28"/>
      <c r="G551" s="32" t="str">
        <f aca="false">IF(E551="","",IFERROR(INDEX(Товары!$D$4:$D$200,MATCH(E551,Товары!$B$4:$B$200,0)),0))</f>
        <v/>
      </c>
      <c r="H551" s="29"/>
      <c r="I551" s="32" t="str">
        <f aca="false">IF(OR(E551="",F551=""),"",F551*G551-N(H551))</f>
        <v/>
      </c>
      <c r="J551" s="29"/>
      <c r="K551" s="32" t="str">
        <f aca="false">IF(AND(I551="",N(J551)=0),"",N(I551)+N(J551))</f>
        <v/>
      </c>
      <c r="L551" s="32" t="str">
        <f aca="false">IF(OR(E551="",F551=""),"",F551*IFERROR(INDEX(Товары!$C$4:$C$200,MATCH(E551,Товары!$B$4:$B$200,0)),0))</f>
        <v/>
      </c>
      <c r="M551" s="32" t="str">
        <f aca="false">IF(I551="","",I551-L551)</f>
        <v/>
      </c>
      <c r="N551" s="28"/>
      <c r="O551" s="28"/>
      <c r="P551" s="28"/>
      <c r="Q551" s="28"/>
      <c r="R551" s="35"/>
      <c r="S551" s="28"/>
    </row>
    <row r="552" customFormat="false" ht="15" hidden="false" customHeight="false" outlineLevel="0" collapsed="false">
      <c r="A552" s="34" t="str">
        <f aca="false">IF(E552="","",ROW()-3)</f>
        <v/>
      </c>
      <c r="B552" s="35"/>
      <c r="C552" s="28"/>
      <c r="D552" s="28"/>
      <c r="E552" s="28"/>
      <c r="F552" s="28"/>
      <c r="G552" s="32" t="str">
        <f aca="false">IF(E552="","",IFERROR(INDEX(Товары!$D$4:$D$200,MATCH(E552,Товары!$B$4:$B$200,0)),0))</f>
        <v/>
      </c>
      <c r="H552" s="29"/>
      <c r="I552" s="32" t="str">
        <f aca="false">IF(OR(E552="",F552=""),"",F552*G552-N(H552))</f>
        <v/>
      </c>
      <c r="J552" s="29"/>
      <c r="K552" s="32" t="str">
        <f aca="false">IF(AND(I552="",N(J552)=0),"",N(I552)+N(J552))</f>
        <v/>
      </c>
      <c r="L552" s="32" t="str">
        <f aca="false">IF(OR(E552="",F552=""),"",F552*IFERROR(INDEX(Товары!$C$4:$C$200,MATCH(E552,Товары!$B$4:$B$200,0)),0))</f>
        <v/>
      </c>
      <c r="M552" s="32" t="str">
        <f aca="false">IF(I552="","",I552-L552)</f>
        <v/>
      </c>
      <c r="N552" s="28"/>
      <c r="O552" s="28"/>
      <c r="P552" s="28"/>
      <c r="Q552" s="28"/>
      <c r="R552" s="35"/>
      <c r="S552" s="28"/>
    </row>
    <row r="553" customFormat="false" ht="15" hidden="false" customHeight="false" outlineLevel="0" collapsed="false">
      <c r="A553" s="34" t="str">
        <f aca="false">IF(E553="","",ROW()-3)</f>
        <v/>
      </c>
      <c r="B553" s="35"/>
      <c r="C553" s="28"/>
      <c r="D553" s="28"/>
      <c r="E553" s="28"/>
      <c r="F553" s="28"/>
      <c r="G553" s="32" t="str">
        <f aca="false">IF(E553="","",IFERROR(INDEX(Товары!$D$4:$D$200,MATCH(E553,Товары!$B$4:$B$200,0)),0))</f>
        <v/>
      </c>
      <c r="H553" s="29"/>
      <c r="I553" s="32" t="str">
        <f aca="false">IF(OR(E553="",F553=""),"",F553*G553-N(H553))</f>
        <v/>
      </c>
      <c r="J553" s="29"/>
      <c r="K553" s="32" t="str">
        <f aca="false">IF(AND(I553="",N(J553)=0),"",N(I553)+N(J553))</f>
        <v/>
      </c>
      <c r="L553" s="32" t="str">
        <f aca="false">IF(OR(E553="",F553=""),"",F553*IFERROR(INDEX(Товары!$C$4:$C$200,MATCH(E553,Товары!$B$4:$B$200,0)),0))</f>
        <v/>
      </c>
      <c r="M553" s="32" t="str">
        <f aca="false">IF(I553="","",I553-L553)</f>
        <v/>
      </c>
      <c r="N553" s="28"/>
      <c r="O553" s="28"/>
      <c r="P553" s="28"/>
      <c r="Q553" s="28"/>
      <c r="R553" s="35"/>
      <c r="S553" s="28"/>
    </row>
    <row r="554" customFormat="false" ht="15" hidden="false" customHeight="false" outlineLevel="0" collapsed="false">
      <c r="A554" s="34" t="str">
        <f aca="false">IF(E554="","",ROW()-3)</f>
        <v/>
      </c>
      <c r="B554" s="35"/>
      <c r="C554" s="28"/>
      <c r="D554" s="28"/>
      <c r="E554" s="28"/>
      <c r="F554" s="28"/>
      <c r="G554" s="32" t="str">
        <f aca="false">IF(E554="","",IFERROR(INDEX(Товары!$D$4:$D$200,MATCH(E554,Товары!$B$4:$B$200,0)),0))</f>
        <v/>
      </c>
      <c r="H554" s="29"/>
      <c r="I554" s="32" t="str">
        <f aca="false">IF(OR(E554="",F554=""),"",F554*G554-N(H554))</f>
        <v/>
      </c>
      <c r="J554" s="29"/>
      <c r="K554" s="32" t="str">
        <f aca="false">IF(AND(I554="",N(J554)=0),"",N(I554)+N(J554))</f>
        <v/>
      </c>
      <c r="L554" s="32" t="str">
        <f aca="false">IF(OR(E554="",F554=""),"",F554*IFERROR(INDEX(Товары!$C$4:$C$200,MATCH(E554,Товары!$B$4:$B$200,0)),0))</f>
        <v/>
      </c>
      <c r="M554" s="32" t="str">
        <f aca="false">IF(I554="","",I554-L554)</f>
        <v/>
      </c>
      <c r="N554" s="28"/>
      <c r="O554" s="28"/>
      <c r="P554" s="28"/>
      <c r="Q554" s="28"/>
      <c r="R554" s="35"/>
      <c r="S554" s="28"/>
    </row>
    <row r="555" customFormat="false" ht="15" hidden="false" customHeight="false" outlineLevel="0" collapsed="false">
      <c r="A555" s="34" t="str">
        <f aca="false">IF(E555="","",ROW()-3)</f>
        <v/>
      </c>
      <c r="B555" s="35"/>
      <c r="C555" s="28"/>
      <c r="D555" s="28"/>
      <c r="E555" s="28"/>
      <c r="F555" s="28"/>
      <c r="G555" s="32" t="str">
        <f aca="false">IF(E555="","",IFERROR(INDEX(Товары!$D$4:$D$200,MATCH(E555,Товары!$B$4:$B$200,0)),0))</f>
        <v/>
      </c>
      <c r="H555" s="29"/>
      <c r="I555" s="32" t="str">
        <f aca="false">IF(OR(E555="",F555=""),"",F555*G555-N(H555))</f>
        <v/>
      </c>
      <c r="J555" s="29"/>
      <c r="K555" s="32" t="str">
        <f aca="false">IF(AND(I555="",N(J555)=0),"",N(I555)+N(J555))</f>
        <v/>
      </c>
      <c r="L555" s="32" t="str">
        <f aca="false">IF(OR(E555="",F555=""),"",F555*IFERROR(INDEX(Товары!$C$4:$C$200,MATCH(E555,Товары!$B$4:$B$200,0)),0))</f>
        <v/>
      </c>
      <c r="M555" s="32" t="str">
        <f aca="false">IF(I555="","",I555-L555)</f>
        <v/>
      </c>
      <c r="N555" s="28"/>
      <c r="O555" s="28"/>
      <c r="P555" s="28"/>
      <c r="Q555" s="28"/>
      <c r="R555" s="35"/>
      <c r="S555" s="28"/>
    </row>
    <row r="556" customFormat="false" ht="15" hidden="false" customHeight="false" outlineLevel="0" collapsed="false">
      <c r="A556" s="34" t="str">
        <f aca="false">IF(E556="","",ROW()-3)</f>
        <v/>
      </c>
      <c r="B556" s="35"/>
      <c r="C556" s="28"/>
      <c r="D556" s="28"/>
      <c r="E556" s="28"/>
      <c r="F556" s="28"/>
      <c r="G556" s="32" t="str">
        <f aca="false">IF(E556="","",IFERROR(INDEX(Товары!$D$4:$D$200,MATCH(E556,Товары!$B$4:$B$200,0)),0))</f>
        <v/>
      </c>
      <c r="H556" s="29"/>
      <c r="I556" s="32" t="str">
        <f aca="false">IF(OR(E556="",F556=""),"",F556*G556-N(H556))</f>
        <v/>
      </c>
      <c r="J556" s="29"/>
      <c r="K556" s="32" t="str">
        <f aca="false">IF(AND(I556="",N(J556)=0),"",N(I556)+N(J556))</f>
        <v/>
      </c>
      <c r="L556" s="32" t="str">
        <f aca="false">IF(OR(E556="",F556=""),"",F556*IFERROR(INDEX(Товары!$C$4:$C$200,MATCH(E556,Товары!$B$4:$B$200,0)),0))</f>
        <v/>
      </c>
      <c r="M556" s="32" t="str">
        <f aca="false">IF(I556="","",I556-L556)</f>
        <v/>
      </c>
      <c r="N556" s="28"/>
      <c r="O556" s="28"/>
      <c r="P556" s="28"/>
      <c r="Q556" s="28"/>
      <c r="R556" s="35"/>
      <c r="S556" s="28"/>
    </row>
    <row r="557" customFormat="false" ht="15" hidden="false" customHeight="false" outlineLevel="0" collapsed="false">
      <c r="A557" s="34" t="str">
        <f aca="false">IF(E557="","",ROW()-3)</f>
        <v/>
      </c>
      <c r="B557" s="35"/>
      <c r="C557" s="28"/>
      <c r="D557" s="28"/>
      <c r="E557" s="28"/>
      <c r="F557" s="28"/>
      <c r="G557" s="32" t="str">
        <f aca="false">IF(E557="","",IFERROR(INDEX(Товары!$D$4:$D$200,MATCH(E557,Товары!$B$4:$B$200,0)),0))</f>
        <v/>
      </c>
      <c r="H557" s="29"/>
      <c r="I557" s="32" t="str">
        <f aca="false">IF(OR(E557="",F557=""),"",F557*G557-N(H557))</f>
        <v/>
      </c>
      <c r="J557" s="29"/>
      <c r="K557" s="32" t="str">
        <f aca="false">IF(AND(I557="",N(J557)=0),"",N(I557)+N(J557))</f>
        <v/>
      </c>
      <c r="L557" s="32" t="str">
        <f aca="false">IF(OR(E557="",F557=""),"",F557*IFERROR(INDEX(Товары!$C$4:$C$200,MATCH(E557,Товары!$B$4:$B$200,0)),0))</f>
        <v/>
      </c>
      <c r="M557" s="32" t="str">
        <f aca="false">IF(I557="","",I557-L557)</f>
        <v/>
      </c>
      <c r="N557" s="28"/>
      <c r="O557" s="28"/>
      <c r="P557" s="28"/>
      <c r="Q557" s="28"/>
      <c r="R557" s="35"/>
      <c r="S557" s="28"/>
    </row>
    <row r="558" customFormat="false" ht="15" hidden="false" customHeight="false" outlineLevel="0" collapsed="false">
      <c r="A558" s="34" t="str">
        <f aca="false">IF(E558="","",ROW()-3)</f>
        <v/>
      </c>
      <c r="B558" s="35"/>
      <c r="C558" s="28"/>
      <c r="D558" s="28"/>
      <c r="E558" s="28"/>
      <c r="F558" s="28"/>
      <c r="G558" s="32" t="str">
        <f aca="false">IF(E558="","",IFERROR(INDEX(Товары!$D$4:$D$200,MATCH(E558,Товары!$B$4:$B$200,0)),0))</f>
        <v/>
      </c>
      <c r="H558" s="29"/>
      <c r="I558" s="32" t="str">
        <f aca="false">IF(OR(E558="",F558=""),"",F558*G558-N(H558))</f>
        <v/>
      </c>
      <c r="J558" s="29"/>
      <c r="K558" s="32" t="str">
        <f aca="false">IF(AND(I558="",N(J558)=0),"",N(I558)+N(J558))</f>
        <v/>
      </c>
      <c r="L558" s="32" t="str">
        <f aca="false">IF(OR(E558="",F558=""),"",F558*IFERROR(INDEX(Товары!$C$4:$C$200,MATCH(E558,Товары!$B$4:$B$200,0)),0))</f>
        <v/>
      </c>
      <c r="M558" s="32" t="str">
        <f aca="false">IF(I558="","",I558-L558)</f>
        <v/>
      </c>
      <c r="N558" s="28"/>
      <c r="O558" s="28"/>
      <c r="P558" s="28"/>
      <c r="Q558" s="28"/>
      <c r="R558" s="35"/>
      <c r="S558" s="28"/>
    </row>
    <row r="559" customFormat="false" ht="15" hidden="false" customHeight="false" outlineLevel="0" collapsed="false">
      <c r="A559" s="34" t="str">
        <f aca="false">IF(E559="","",ROW()-3)</f>
        <v/>
      </c>
      <c r="B559" s="35"/>
      <c r="C559" s="28"/>
      <c r="D559" s="28"/>
      <c r="E559" s="28"/>
      <c r="F559" s="28"/>
      <c r="G559" s="32" t="str">
        <f aca="false">IF(E559="","",IFERROR(INDEX(Товары!$D$4:$D$200,MATCH(E559,Товары!$B$4:$B$200,0)),0))</f>
        <v/>
      </c>
      <c r="H559" s="29"/>
      <c r="I559" s="32" t="str">
        <f aca="false">IF(OR(E559="",F559=""),"",F559*G559-N(H559))</f>
        <v/>
      </c>
      <c r="J559" s="29"/>
      <c r="K559" s="32" t="str">
        <f aca="false">IF(AND(I559="",N(J559)=0),"",N(I559)+N(J559))</f>
        <v/>
      </c>
      <c r="L559" s="32" t="str">
        <f aca="false">IF(OR(E559="",F559=""),"",F559*IFERROR(INDEX(Товары!$C$4:$C$200,MATCH(E559,Товары!$B$4:$B$200,0)),0))</f>
        <v/>
      </c>
      <c r="M559" s="32" t="str">
        <f aca="false">IF(I559="","",I559-L559)</f>
        <v/>
      </c>
      <c r="N559" s="28"/>
      <c r="O559" s="28"/>
      <c r="P559" s="28"/>
      <c r="Q559" s="28"/>
      <c r="R559" s="35"/>
      <c r="S559" s="28"/>
    </row>
    <row r="560" customFormat="false" ht="15" hidden="false" customHeight="false" outlineLevel="0" collapsed="false">
      <c r="A560" s="34" t="str">
        <f aca="false">IF(E560="","",ROW()-3)</f>
        <v/>
      </c>
      <c r="B560" s="35"/>
      <c r="C560" s="28"/>
      <c r="D560" s="28"/>
      <c r="E560" s="28"/>
      <c r="F560" s="28"/>
      <c r="G560" s="32" t="str">
        <f aca="false">IF(E560="","",IFERROR(INDEX(Товары!$D$4:$D$200,MATCH(E560,Товары!$B$4:$B$200,0)),0))</f>
        <v/>
      </c>
      <c r="H560" s="29"/>
      <c r="I560" s="32" t="str">
        <f aca="false">IF(OR(E560="",F560=""),"",F560*G560-N(H560))</f>
        <v/>
      </c>
      <c r="J560" s="29"/>
      <c r="K560" s="32" t="str">
        <f aca="false">IF(AND(I560="",N(J560)=0),"",N(I560)+N(J560))</f>
        <v/>
      </c>
      <c r="L560" s="32" t="str">
        <f aca="false">IF(OR(E560="",F560=""),"",F560*IFERROR(INDEX(Товары!$C$4:$C$200,MATCH(E560,Товары!$B$4:$B$200,0)),0))</f>
        <v/>
      </c>
      <c r="M560" s="32" t="str">
        <f aca="false">IF(I560="","",I560-L560)</f>
        <v/>
      </c>
      <c r="N560" s="28"/>
      <c r="O560" s="28"/>
      <c r="P560" s="28"/>
      <c r="Q560" s="28"/>
      <c r="R560" s="35"/>
      <c r="S560" s="28"/>
    </row>
    <row r="561" customFormat="false" ht="15" hidden="false" customHeight="false" outlineLevel="0" collapsed="false">
      <c r="A561" s="34" t="str">
        <f aca="false">IF(E561="","",ROW()-3)</f>
        <v/>
      </c>
      <c r="B561" s="35"/>
      <c r="C561" s="28"/>
      <c r="D561" s="28"/>
      <c r="E561" s="28"/>
      <c r="F561" s="28"/>
      <c r="G561" s="32" t="str">
        <f aca="false">IF(E561="","",IFERROR(INDEX(Товары!$D$4:$D$200,MATCH(E561,Товары!$B$4:$B$200,0)),0))</f>
        <v/>
      </c>
      <c r="H561" s="29"/>
      <c r="I561" s="32" t="str">
        <f aca="false">IF(OR(E561="",F561=""),"",F561*G561-N(H561))</f>
        <v/>
      </c>
      <c r="J561" s="29"/>
      <c r="K561" s="32" t="str">
        <f aca="false">IF(AND(I561="",N(J561)=0),"",N(I561)+N(J561))</f>
        <v/>
      </c>
      <c r="L561" s="32" t="str">
        <f aca="false">IF(OR(E561="",F561=""),"",F561*IFERROR(INDEX(Товары!$C$4:$C$200,MATCH(E561,Товары!$B$4:$B$200,0)),0))</f>
        <v/>
      </c>
      <c r="M561" s="32" t="str">
        <f aca="false">IF(I561="","",I561-L561)</f>
        <v/>
      </c>
      <c r="N561" s="28"/>
      <c r="O561" s="28"/>
      <c r="P561" s="28"/>
      <c r="Q561" s="28"/>
      <c r="R561" s="35"/>
      <c r="S561" s="28"/>
    </row>
    <row r="562" customFormat="false" ht="15" hidden="false" customHeight="false" outlineLevel="0" collapsed="false">
      <c r="A562" s="34" t="str">
        <f aca="false">IF(E562="","",ROW()-3)</f>
        <v/>
      </c>
      <c r="B562" s="35"/>
      <c r="C562" s="28"/>
      <c r="D562" s="28"/>
      <c r="E562" s="28"/>
      <c r="F562" s="28"/>
      <c r="G562" s="32" t="str">
        <f aca="false">IF(E562="","",IFERROR(INDEX(Товары!$D$4:$D$200,MATCH(E562,Товары!$B$4:$B$200,0)),0))</f>
        <v/>
      </c>
      <c r="H562" s="29"/>
      <c r="I562" s="32" t="str">
        <f aca="false">IF(OR(E562="",F562=""),"",F562*G562-N(H562))</f>
        <v/>
      </c>
      <c r="J562" s="29"/>
      <c r="K562" s="32" t="str">
        <f aca="false">IF(AND(I562="",N(J562)=0),"",N(I562)+N(J562))</f>
        <v/>
      </c>
      <c r="L562" s="32" t="str">
        <f aca="false">IF(OR(E562="",F562=""),"",F562*IFERROR(INDEX(Товары!$C$4:$C$200,MATCH(E562,Товары!$B$4:$B$200,0)),0))</f>
        <v/>
      </c>
      <c r="M562" s="32" t="str">
        <f aca="false">IF(I562="","",I562-L562)</f>
        <v/>
      </c>
      <c r="N562" s="28"/>
      <c r="O562" s="28"/>
      <c r="P562" s="28"/>
      <c r="Q562" s="28"/>
      <c r="R562" s="35"/>
      <c r="S562" s="28"/>
    </row>
    <row r="563" customFormat="false" ht="15" hidden="false" customHeight="false" outlineLevel="0" collapsed="false">
      <c r="A563" s="34" t="str">
        <f aca="false">IF(E563="","",ROW()-3)</f>
        <v/>
      </c>
      <c r="B563" s="35"/>
      <c r="C563" s="28"/>
      <c r="D563" s="28"/>
      <c r="E563" s="28"/>
      <c r="F563" s="28"/>
      <c r="G563" s="32" t="str">
        <f aca="false">IF(E563="","",IFERROR(INDEX(Товары!$D$4:$D$200,MATCH(E563,Товары!$B$4:$B$200,0)),0))</f>
        <v/>
      </c>
      <c r="H563" s="29"/>
      <c r="I563" s="32" t="str">
        <f aca="false">IF(OR(E563="",F563=""),"",F563*G563-N(H563))</f>
        <v/>
      </c>
      <c r="J563" s="29"/>
      <c r="K563" s="32" t="str">
        <f aca="false">IF(AND(I563="",N(J563)=0),"",N(I563)+N(J563))</f>
        <v/>
      </c>
      <c r="L563" s="32" t="str">
        <f aca="false">IF(OR(E563="",F563=""),"",F563*IFERROR(INDEX(Товары!$C$4:$C$200,MATCH(E563,Товары!$B$4:$B$200,0)),0))</f>
        <v/>
      </c>
      <c r="M563" s="32" t="str">
        <f aca="false">IF(I563="","",I563-L563)</f>
        <v/>
      </c>
      <c r="N563" s="28"/>
      <c r="O563" s="28"/>
      <c r="P563" s="28"/>
      <c r="Q563" s="28"/>
      <c r="R563" s="35"/>
      <c r="S563" s="28"/>
    </row>
    <row r="564" customFormat="false" ht="15" hidden="false" customHeight="false" outlineLevel="0" collapsed="false">
      <c r="A564" s="34" t="str">
        <f aca="false">IF(E564="","",ROW()-3)</f>
        <v/>
      </c>
      <c r="B564" s="35"/>
      <c r="C564" s="28"/>
      <c r="D564" s="28"/>
      <c r="E564" s="28"/>
      <c r="F564" s="28"/>
      <c r="G564" s="32" t="str">
        <f aca="false">IF(E564="","",IFERROR(INDEX(Товары!$D$4:$D$200,MATCH(E564,Товары!$B$4:$B$200,0)),0))</f>
        <v/>
      </c>
      <c r="H564" s="29"/>
      <c r="I564" s="32" t="str">
        <f aca="false">IF(OR(E564="",F564=""),"",F564*G564-N(H564))</f>
        <v/>
      </c>
      <c r="J564" s="29"/>
      <c r="K564" s="32" t="str">
        <f aca="false">IF(AND(I564="",N(J564)=0),"",N(I564)+N(J564))</f>
        <v/>
      </c>
      <c r="L564" s="32" t="str">
        <f aca="false">IF(OR(E564="",F564=""),"",F564*IFERROR(INDEX(Товары!$C$4:$C$200,MATCH(E564,Товары!$B$4:$B$200,0)),0))</f>
        <v/>
      </c>
      <c r="M564" s="32" t="str">
        <f aca="false">IF(I564="","",I564-L564)</f>
        <v/>
      </c>
      <c r="N564" s="28"/>
      <c r="O564" s="28"/>
      <c r="P564" s="28"/>
      <c r="Q564" s="28"/>
      <c r="R564" s="35"/>
      <c r="S564" s="28"/>
    </row>
    <row r="565" customFormat="false" ht="15" hidden="false" customHeight="false" outlineLevel="0" collapsed="false">
      <c r="A565" s="34" t="str">
        <f aca="false">IF(E565="","",ROW()-3)</f>
        <v/>
      </c>
      <c r="B565" s="35"/>
      <c r="C565" s="28"/>
      <c r="D565" s="28"/>
      <c r="E565" s="28"/>
      <c r="F565" s="28"/>
      <c r="G565" s="32" t="str">
        <f aca="false">IF(E565="","",IFERROR(INDEX(Товары!$D$4:$D$200,MATCH(E565,Товары!$B$4:$B$200,0)),0))</f>
        <v/>
      </c>
      <c r="H565" s="29"/>
      <c r="I565" s="32" t="str">
        <f aca="false">IF(OR(E565="",F565=""),"",F565*G565-N(H565))</f>
        <v/>
      </c>
      <c r="J565" s="29"/>
      <c r="K565" s="32" t="str">
        <f aca="false">IF(AND(I565="",N(J565)=0),"",N(I565)+N(J565))</f>
        <v/>
      </c>
      <c r="L565" s="32" t="str">
        <f aca="false">IF(OR(E565="",F565=""),"",F565*IFERROR(INDEX(Товары!$C$4:$C$200,MATCH(E565,Товары!$B$4:$B$200,0)),0))</f>
        <v/>
      </c>
      <c r="M565" s="32" t="str">
        <f aca="false">IF(I565="","",I565-L565)</f>
        <v/>
      </c>
      <c r="N565" s="28"/>
      <c r="O565" s="28"/>
      <c r="P565" s="28"/>
      <c r="Q565" s="28"/>
      <c r="R565" s="35"/>
      <c r="S565" s="28"/>
    </row>
    <row r="566" customFormat="false" ht="15" hidden="false" customHeight="false" outlineLevel="0" collapsed="false">
      <c r="A566" s="34" t="str">
        <f aca="false">IF(E566="","",ROW()-3)</f>
        <v/>
      </c>
      <c r="B566" s="35"/>
      <c r="C566" s="28"/>
      <c r="D566" s="28"/>
      <c r="E566" s="28"/>
      <c r="F566" s="28"/>
      <c r="G566" s="32" t="str">
        <f aca="false">IF(E566="","",IFERROR(INDEX(Товары!$D$4:$D$200,MATCH(E566,Товары!$B$4:$B$200,0)),0))</f>
        <v/>
      </c>
      <c r="H566" s="29"/>
      <c r="I566" s="32" t="str">
        <f aca="false">IF(OR(E566="",F566=""),"",F566*G566-N(H566))</f>
        <v/>
      </c>
      <c r="J566" s="29"/>
      <c r="K566" s="32" t="str">
        <f aca="false">IF(AND(I566="",N(J566)=0),"",N(I566)+N(J566))</f>
        <v/>
      </c>
      <c r="L566" s="32" t="str">
        <f aca="false">IF(OR(E566="",F566=""),"",F566*IFERROR(INDEX(Товары!$C$4:$C$200,MATCH(E566,Товары!$B$4:$B$200,0)),0))</f>
        <v/>
      </c>
      <c r="M566" s="32" t="str">
        <f aca="false">IF(I566="","",I566-L566)</f>
        <v/>
      </c>
      <c r="N566" s="28"/>
      <c r="O566" s="28"/>
      <c r="P566" s="28"/>
      <c r="Q566" s="28"/>
      <c r="R566" s="35"/>
      <c r="S566" s="28"/>
    </row>
    <row r="567" customFormat="false" ht="15" hidden="false" customHeight="false" outlineLevel="0" collapsed="false">
      <c r="A567" s="34" t="str">
        <f aca="false">IF(E567="","",ROW()-3)</f>
        <v/>
      </c>
      <c r="B567" s="35"/>
      <c r="C567" s="28"/>
      <c r="D567" s="28"/>
      <c r="E567" s="28"/>
      <c r="F567" s="28"/>
      <c r="G567" s="32" t="str">
        <f aca="false">IF(E567="","",IFERROR(INDEX(Товары!$D$4:$D$200,MATCH(E567,Товары!$B$4:$B$200,0)),0))</f>
        <v/>
      </c>
      <c r="H567" s="29"/>
      <c r="I567" s="32" t="str">
        <f aca="false">IF(OR(E567="",F567=""),"",F567*G567-N(H567))</f>
        <v/>
      </c>
      <c r="J567" s="29"/>
      <c r="K567" s="32" t="str">
        <f aca="false">IF(AND(I567="",N(J567)=0),"",N(I567)+N(J567))</f>
        <v/>
      </c>
      <c r="L567" s="32" t="str">
        <f aca="false">IF(OR(E567="",F567=""),"",F567*IFERROR(INDEX(Товары!$C$4:$C$200,MATCH(E567,Товары!$B$4:$B$200,0)),0))</f>
        <v/>
      </c>
      <c r="M567" s="32" t="str">
        <f aca="false">IF(I567="","",I567-L567)</f>
        <v/>
      </c>
      <c r="N567" s="28"/>
      <c r="O567" s="28"/>
      <c r="P567" s="28"/>
      <c r="Q567" s="28"/>
      <c r="R567" s="35"/>
      <c r="S567" s="28"/>
    </row>
    <row r="568" customFormat="false" ht="15" hidden="false" customHeight="false" outlineLevel="0" collapsed="false">
      <c r="A568" s="34" t="str">
        <f aca="false">IF(E568="","",ROW()-3)</f>
        <v/>
      </c>
      <c r="B568" s="35"/>
      <c r="C568" s="28"/>
      <c r="D568" s="28"/>
      <c r="E568" s="28"/>
      <c r="F568" s="28"/>
      <c r="G568" s="32" t="str">
        <f aca="false">IF(E568="","",IFERROR(INDEX(Товары!$D$4:$D$200,MATCH(E568,Товары!$B$4:$B$200,0)),0))</f>
        <v/>
      </c>
      <c r="H568" s="29"/>
      <c r="I568" s="32" t="str">
        <f aca="false">IF(OR(E568="",F568=""),"",F568*G568-N(H568))</f>
        <v/>
      </c>
      <c r="J568" s="29"/>
      <c r="K568" s="32" t="str">
        <f aca="false">IF(AND(I568="",N(J568)=0),"",N(I568)+N(J568))</f>
        <v/>
      </c>
      <c r="L568" s="32" t="str">
        <f aca="false">IF(OR(E568="",F568=""),"",F568*IFERROR(INDEX(Товары!$C$4:$C$200,MATCH(E568,Товары!$B$4:$B$200,0)),0))</f>
        <v/>
      </c>
      <c r="M568" s="32" t="str">
        <f aca="false">IF(I568="","",I568-L568)</f>
        <v/>
      </c>
      <c r="N568" s="28"/>
      <c r="O568" s="28"/>
      <c r="P568" s="28"/>
      <c r="Q568" s="28"/>
      <c r="R568" s="35"/>
      <c r="S568" s="28"/>
    </row>
    <row r="569" customFormat="false" ht="15" hidden="false" customHeight="false" outlineLevel="0" collapsed="false">
      <c r="A569" s="34" t="str">
        <f aca="false">IF(E569="","",ROW()-3)</f>
        <v/>
      </c>
      <c r="B569" s="35"/>
      <c r="C569" s="28"/>
      <c r="D569" s="28"/>
      <c r="E569" s="28"/>
      <c r="F569" s="28"/>
      <c r="G569" s="32" t="str">
        <f aca="false">IF(E569="","",IFERROR(INDEX(Товары!$D$4:$D$200,MATCH(E569,Товары!$B$4:$B$200,0)),0))</f>
        <v/>
      </c>
      <c r="H569" s="29"/>
      <c r="I569" s="32" t="str">
        <f aca="false">IF(OR(E569="",F569=""),"",F569*G569-N(H569))</f>
        <v/>
      </c>
      <c r="J569" s="29"/>
      <c r="K569" s="32" t="str">
        <f aca="false">IF(AND(I569="",N(J569)=0),"",N(I569)+N(J569))</f>
        <v/>
      </c>
      <c r="L569" s="32" t="str">
        <f aca="false">IF(OR(E569="",F569=""),"",F569*IFERROR(INDEX(Товары!$C$4:$C$200,MATCH(E569,Товары!$B$4:$B$200,0)),0))</f>
        <v/>
      </c>
      <c r="M569" s="32" t="str">
        <f aca="false">IF(I569="","",I569-L569)</f>
        <v/>
      </c>
      <c r="N569" s="28"/>
      <c r="O569" s="28"/>
      <c r="P569" s="28"/>
      <c r="Q569" s="28"/>
      <c r="R569" s="35"/>
      <c r="S569" s="28"/>
    </row>
    <row r="570" customFormat="false" ht="15" hidden="false" customHeight="false" outlineLevel="0" collapsed="false">
      <c r="A570" s="34" t="str">
        <f aca="false">IF(E570="","",ROW()-3)</f>
        <v/>
      </c>
      <c r="B570" s="35"/>
      <c r="C570" s="28"/>
      <c r="D570" s="28"/>
      <c r="E570" s="28"/>
      <c r="F570" s="28"/>
      <c r="G570" s="32" t="str">
        <f aca="false">IF(E570="","",IFERROR(INDEX(Товары!$D$4:$D$200,MATCH(E570,Товары!$B$4:$B$200,0)),0))</f>
        <v/>
      </c>
      <c r="H570" s="29"/>
      <c r="I570" s="32" t="str">
        <f aca="false">IF(OR(E570="",F570=""),"",F570*G570-N(H570))</f>
        <v/>
      </c>
      <c r="J570" s="29"/>
      <c r="K570" s="32" t="str">
        <f aca="false">IF(AND(I570="",N(J570)=0),"",N(I570)+N(J570))</f>
        <v/>
      </c>
      <c r="L570" s="32" t="str">
        <f aca="false">IF(OR(E570="",F570=""),"",F570*IFERROR(INDEX(Товары!$C$4:$C$200,MATCH(E570,Товары!$B$4:$B$200,0)),0))</f>
        <v/>
      </c>
      <c r="M570" s="32" t="str">
        <f aca="false">IF(I570="","",I570-L570)</f>
        <v/>
      </c>
      <c r="N570" s="28"/>
      <c r="O570" s="28"/>
      <c r="P570" s="28"/>
      <c r="Q570" s="28"/>
      <c r="R570" s="35"/>
      <c r="S570" s="28"/>
    </row>
    <row r="571" customFormat="false" ht="15" hidden="false" customHeight="false" outlineLevel="0" collapsed="false">
      <c r="A571" s="34" t="str">
        <f aca="false">IF(E571="","",ROW()-3)</f>
        <v/>
      </c>
      <c r="B571" s="35"/>
      <c r="C571" s="28"/>
      <c r="D571" s="28"/>
      <c r="E571" s="28"/>
      <c r="F571" s="28"/>
      <c r="G571" s="32" t="str">
        <f aca="false">IF(E571="","",IFERROR(INDEX(Товары!$D$4:$D$200,MATCH(E571,Товары!$B$4:$B$200,0)),0))</f>
        <v/>
      </c>
      <c r="H571" s="29"/>
      <c r="I571" s="32" t="str">
        <f aca="false">IF(OR(E571="",F571=""),"",F571*G571-N(H571))</f>
        <v/>
      </c>
      <c r="J571" s="29"/>
      <c r="K571" s="32" t="str">
        <f aca="false">IF(AND(I571="",N(J571)=0),"",N(I571)+N(J571))</f>
        <v/>
      </c>
      <c r="L571" s="32" t="str">
        <f aca="false">IF(OR(E571="",F571=""),"",F571*IFERROR(INDEX(Товары!$C$4:$C$200,MATCH(E571,Товары!$B$4:$B$200,0)),0))</f>
        <v/>
      </c>
      <c r="M571" s="32" t="str">
        <f aca="false">IF(I571="","",I571-L571)</f>
        <v/>
      </c>
      <c r="N571" s="28"/>
      <c r="O571" s="28"/>
      <c r="P571" s="28"/>
      <c r="Q571" s="28"/>
      <c r="R571" s="35"/>
      <c r="S571" s="28"/>
    </row>
    <row r="572" customFormat="false" ht="15" hidden="false" customHeight="false" outlineLevel="0" collapsed="false">
      <c r="A572" s="34" t="str">
        <f aca="false">IF(E572="","",ROW()-3)</f>
        <v/>
      </c>
      <c r="B572" s="35"/>
      <c r="C572" s="28"/>
      <c r="D572" s="28"/>
      <c r="E572" s="28"/>
      <c r="F572" s="28"/>
      <c r="G572" s="32" t="str">
        <f aca="false">IF(E572="","",IFERROR(INDEX(Товары!$D$4:$D$200,MATCH(E572,Товары!$B$4:$B$200,0)),0))</f>
        <v/>
      </c>
      <c r="H572" s="29"/>
      <c r="I572" s="32" t="str">
        <f aca="false">IF(OR(E572="",F572=""),"",F572*G572-N(H572))</f>
        <v/>
      </c>
      <c r="J572" s="29"/>
      <c r="K572" s="32" t="str">
        <f aca="false">IF(AND(I572="",N(J572)=0),"",N(I572)+N(J572))</f>
        <v/>
      </c>
      <c r="L572" s="32" t="str">
        <f aca="false">IF(OR(E572="",F572=""),"",F572*IFERROR(INDEX(Товары!$C$4:$C$200,MATCH(E572,Товары!$B$4:$B$200,0)),0))</f>
        <v/>
      </c>
      <c r="M572" s="32" t="str">
        <f aca="false">IF(I572="","",I572-L572)</f>
        <v/>
      </c>
      <c r="N572" s="28"/>
      <c r="O572" s="28"/>
      <c r="P572" s="28"/>
      <c r="Q572" s="28"/>
      <c r="R572" s="35"/>
      <c r="S572" s="28"/>
    </row>
    <row r="573" customFormat="false" ht="15" hidden="false" customHeight="false" outlineLevel="0" collapsed="false">
      <c r="A573" s="34" t="str">
        <f aca="false">IF(E573="","",ROW()-3)</f>
        <v/>
      </c>
      <c r="B573" s="35"/>
      <c r="C573" s="28"/>
      <c r="D573" s="28"/>
      <c r="E573" s="28"/>
      <c r="F573" s="28"/>
      <c r="G573" s="32" t="str">
        <f aca="false">IF(E573="","",IFERROR(INDEX(Товары!$D$4:$D$200,MATCH(E573,Товары!$B$4:$B$200,0)),0))</f>
        <v/>
      </c>
      <c r="H573" s="29"/>
      <c r="I573" s="32" t="str">
        <f aca="false">IF(OR(E573="",F573=""),"",F573*G573-N(H573))</f>
        <v/>
      </c>
      <c r="J573" s="29"/>
      <c r="K573" s="32" t="str">
        <f aca="false">IF(AND(I573="",N(J573)=0),"",N(I573)+N(J573))</f>
        <v/>
      </c>
      <c r="L573" s="32" t="str">
        <f aca="false">IF(OR(E573="",F573=""),"",F573*IFERROR(INDEX(Товары!$C$4:$C$200,MATCH(E573,Товары!$B$4:$B$200,0)),0))</f>
        <v/>
      </c>
      <c r="M573" s="32" t="str">
        <f aca="false">IF(I573="","",I573-L573)</f>
        <v/>
      </c>
      <c r="N573" s="28"/>
      <c r="O573" s="28"/>
      <c r="P573" s="28"/>
      <c r="Q573" s="28"/>
      <c r="R573" s="35"/>
      <c r="S573" s="28"/>
    </row>
    <row r="574" customFormat="false" ht="15" hidden="false" customHeight="false" outlineLevel="0" collapsed="false">
      <c r="A574" s="34" t="str">
        <f aca="false">IF(E574="","",ROW()-3)</f>
        <v/>
      </c>
      <c r="B574" s="35"/>
      <c r="C574" s="28"/>
      <c r="D574" s="28"/>
      <c r="E574" s="28"/>
      <c r="F574" s="28"/>
      <c r="G574" s="32" t="str">
        <f aca="false">IF(E574="","",IFERROR(INDEX(Товары!$D$4:$D$200,MATCH(E574,Товары!$B$4:$B$200,0)),0))</f>
        <v/>
      </c>
      <c r="H574" s="29"/>
      <c r="I574" s="32" t="str">
        <f aca="false">IF(OR(E574="",F574=""),"",F574*G574-N(H574))</f>
        <v/>
      </c>
      <c r="J574" s="29"/>
      <c r="K574" s="32" t="str">
        <f aca="false">IF(AND(I574="",N(J574)=0),"",N(I574)+N(J574))</f>
        <v/>
      </c>
      <c r="L574" s="32" t="str">
        <f aca="false">IF(OR(E574="",F574=""),"",F574*IFERROR(INDEX(Товары!$C$4:$C$200,MATCH(E574,Товары!$B$4:$B$200,0)),0))</f>
        <v/>
      </c>
      <c r="M574" s="32" t="str">
        <f aca="false">IF(I574="","",I574-L574)</f>
        <v/>
      </c>
      <c r="N574" s="28"/>
      <c r="O574" s="28"/>
      <c r="P574" s="28"/>
      <c r="Q574" s="28"/>
      <c r="R574" s="35"/>
      <c r="S574" s="28"/>
    </row>
    <row r="575" customFormat="false" ht="15" hidden="false" customHeight="false" outlineLevel="0" collapsed="false">
      <c r="A575" s="34" t="str">
        <f aca="false">IF(E575="","",ROW()-3)</f>
        <v/>
      </c>
      <c r="B575" s="35"/>
      <c r="C575" s="28"/>
      <c r="D575" s="28"/>
      <c r="E575" s="28"/>
      <c r="F575" s="28"/>
      <c r="G575" s="32" t="str">
        <f aca="false">IF(E575="","",IFERROR(INDEX(Товары!$D$4:$D$200,MATCH(E575,Товары!$B$4:$B$200,0)),0))</f>
        <v/>
      </c>
      <c r="H575" s="29"/>
      <c r="I575" s="32" t="str">
        <f aca="false">IF(OR(E575="",F575=""),"",F575*G575-N(H575))</f>
        <v/>
      </c>
      <c r="J575" s="29"/>
      <c r="K575" s="32" t="str">
        <f aca="false">IF(AND(I575="",N(J575)=0),"",N(I575)+N(J575))</f>
        <v/>
      </c>
      <c r="L575" s="32" t="str">
        <f aca="false">IF(OR(E575="",F575=""),"",F575*IFERROR(INDEX(Товары!$C$4:$C$200,MATCH(E575,Товары!$B$4:$B$200,0)),0))</f>
        <v/>
      </c>
      <c r="M575" s="32" t="str">
        <f aca="false">IF(I575="","",I575-L575)</f>
        <v/>
      </c>
      <c r="N575" s="28"/>
      <c r="O575" s="28"/>
      <c r="P575" s="28"/>
      <c r="Q575" s="28"/>
      <c r="R575" s="35"/>
      <c r="S575" s="28"/>
    </row>
    <row r="576" customFormat="false" ht="15" hidden="false" customHeight="false" outlineLevel="0" collapsed="false">
      <c r="A576" s="34" t="str">
        <f aca="false">IF(E576="","",ROW()-3)</f>
        <v/>
      </c>
      <c r="B576" s="35"/>
      <c r="C576" s="28"/>
      <c r="D576" s="28"/>
      <c r="E576" s="28"/>
      <c r="F576" s="28"/>
      <c r="G576" s="32" t="str">
        <f aca="false">IF(E576="","",IFERROR(INDEX(Товары!$D$4:$D$200,MATCH(E576,Товары!$B$4:$B$200,0)),0))</f>
        <v/>
      </c>
      <c r="H576" s="29"/>
      <c r="I576" s="32" t="str">
        <f aca="false">IF(OR(E576="",F576=""),"",F576*G576-N(H576))</f>
        <v/>
      </c>
      <c r="J576" s="29"/>
      <c r="K576" s="32" t="str">
        <f aca="false">IF(AND(I576="",N(J576)=0),"",N(I576)+N(J576))</f>
        <v/>
      </c>
      <c r="L576" s="32" t="str">
        <f aca="false">IF(OR(E576="",F576=""),"",F576*IFERROR(INDEX(Товары!$C$4:$C$200,MATCH(E576,Товары!$B$4:$B$200,0)),0))</f>
        <v/>
      </c>
      <c r="M576" s="32" t="str">
        <f aca="false">IF(I576="","",I576-L576)</f>
        <v/>
      </c>
      <c r="N576" s="28"/>
      <c r="O576" s="28"/>
      <c r="P576" s="28"/>
      <c r="Q576" s="28"/>
      <c r="R576" s="35"/>
      <c r="S576" s="28"/>
    </row>
    <row r="577" customFormat="false" ht="15" hidden="false" customHeight="false" outlineLevel="0" collapsed="false">
      <c r="A577" s="34" t="str">
        <f aca="false">IF(E577="","",ROW()-3)</f>
        <v/>
      </c>
      <c r="B577" s="35"/>
      <c r="C577" s="28"/>
      <c r="D577" s="28"/>
      <c r="E577" s="28"/>
      <c r="F577" s="28"/>
      <c r="G577" s="32" t="str">
        <f aca="false">IF(E577="","",IFERROR(INDEX(Товары!$D$4:$D$200,MATCH(E577,Товары!$B$4:$B$200,0)),0))</f>
        <v/>
      </c>
      <c r="H577" s="29"/>
      <c r="I577" s="32" t="str">
        <f aca="false">IF(OR(E577="",F577=""),"",F577*G577-N(H577))</f>
        <v/>
      </c>
      <c r="J577" s="29"/>
      <c r="K577" s="32" t="str">
        <f aca="false">IF(AND(I577="",N(J577)=0),"",N(I577)+N(J577))</f>
        <v/>
      </c>
      <c r="L577" s="32" t="str">
        <f aca="false">IF(OR(E577="",F577=""),"",F577*IFERROR(INDEX(Товары!$C$4:$C$200,MATCH(E577,Товары!$B$4:$B$200,0)),0))</f>
        <v/>
      </c>
      <c r="M577" s="32" t="str">
        <f aca="false">IF(I577="","",I577-L577)</f>
        <v/>
      </c>
      <c r="N577" s="28"/>
      <c r="O577" s="28"/>
      <c r="P577" s="28"/>
      <c r="Q577" s="28"/>
      <c r="R577" s="35"/>
      <c r="S577" s="28"/>
    </row>
    <row r="578" customFormat="false" ht="15" hidden="false" customHeight="false" outlineLevel="0" collapsed="false">
      <c r="A578" s="34" t="str">
        <f aca="false">IF(E578="","",ROW()-3)</f>
        <v/>
      </c>
      <c r="B578" s="35"/>
      <c r="C578" s="28"/>
      <c r="D578" s="28"/>
      <c r="E578" s="28"/>
      <c r="F578" s="28"/>
      <c r="G578" s="32" t="str">
        <f aca="false">IF(E578="","",IFERROR(INDEX(Товары!$D$4:$D$200,MATCH(E578,Товары!$B$4:$B$200,0)),0))</f>
        <v/>
      </c>
      <c r="H578" s="29"/>
      <c r="I578" s="32" t="str">
        <f aca="false">IF(OR(E578="",F578=""),"",F578*G578-N(H578))</f>
        <v/>
      </c>
      <c r="J578" s="29"/>
      <c r="K578" s="32" t="str">
        <f aca="false">IF(AND(I578="",N(J578)=0),"",N(I578)+N(J578))</f>
        <v/>
      </c>
      <c r="L578" s="32" t="str">
        <f aca="false">IF(OR(E578="",F578=""),"",F578*IFERROR(INDEX(Товары!$C$4:$C$200,MATCH(E578,Товары!$B$4:$B$200,0)),0))</f>
        <v/>
      </c>
      <c r="M578" s="32" t="str">
        <f aca="false">IF(I578="","",I578-L578)</f>
        <v/>
      </c>
      <c r="N578" s="28"/>
      <c r="O578" s="28"/>
      <c r="P578" s="28"/>
      <c r="Q578" s="28"/>
      <c r="R578" s="35"/>
      <c r="S578" s="28"/>
    </row>
    <row r="579" customFormat="false" ht="15" hidden="false" customHeight="false" outlineLevel="0" collapsed="false">
      <c r="A579" s="34" t="str">
        <f aca="false">IF(E579="","",ROW()-3)</f>
        <v/>
      </c>
      <c r="B579" s="35"/>
      <c r="C579" s="28"/>
      <c r="D579" s="28"/>
      <c r="E579" s="28"/>
      <c r="F579" s="28"/>
      <c r="G579" s="32" t="str">
        <f aca="false">IF(E579="","",IFERROR(INDEX(Товары!$D$4:$D$200,MATCH(E579,Товары!$B$4:$B$200,0)),0))</f>
        <v/>
      </c>
      <c r="H579" s="29"/>
      <c r="I579" s="32" t="str">
        <f aca="false">IF(OR(E579="",F579=""),"",F579*G579-N(H579))</f>
        <v/>
      </c>
      <c r="J579" s="29"/>
      <c r="K579" s="32" t="str">
        <f aca="false">IF(AND(I579="",N(J579)=0),"",N(I579)+N(J579))</f>
        <v/>
      </c>
      <c r="L579" s="32" t="str">
        <f aca="false">IF(OR(E579="",F579=""),"",F579*IFERROR(INDEX(Товары!$C$4:$C$200,MATCH(E579,Товары!$B$4:$B$200,0)),0))</f>
        <v/>
      </c>
      <c r="M579" s="32" t="str">
        <f aca="false">IF(I579="","",I579-L579)</f>
        <v/>
      </c>
      <c r="N579" s="28"/>
      <c r="O579" s="28"/>
      <c r="P579" s="28"/>
      <c r="Q579" s="28"/>
      <c r="R579" s="35"/>
      <c r="S579" s="28"/>
    </row>
    <row r="580" customFormat="false" ht="15" hidden="false" customHeight="false" outlineLevel="0" collapsed="false">
      <c r="A580" s="34" t="str">
        <f aca="false">IF(E580="","",ROW()-3)</f>
        <v/>
      </c>
      <c r="B580" s="35"/>
      <c r="C580" s="28"/>
      <c r="D580" s="28"/>
      <c r="E580" s="28"/>
      <c r="F580" s="28"/>
      <c r="G580" s="32" t="str">
        <f aca="false">IF(E580="","",IFERROR(INDEX(Товары!$D$4:$D$200,MATCH(E580,Товары!$B$4:$B$200,0)),0))</f>
        <v/>
      </c>
      <c r="H580" s="29"/>
      <c r="I580" s="32" t="str">
        <f aca="false">IF(OR(E580="",F580=""),"",F580*G580-N(H580))</f>
        <v/>
      </c>
      <c r="J580" s="29"/>
      <c r="K580" s="32" t="str">
        <f aca="false">IF(AND(I580="",N(J580)=0),"",N(I580)+N(J580))</f>
        <v/>
      </c>
      <c r="L580" s="32" t="str">
        <f aca="false">IF(OR(E580="",F580=""),"",F580*IFERROR(INDEX(Товары!$C$4:$C$200,MATCH(E580,Товары!$B$4:$B$200,0)),0))</f>
        <v/>
      </c>
      <c r="M580" s="32" t="str">
        <f aca="false">IF(I580="","",I580-L580)</f>
        <v/>
      </c>
      <c r="N580" s="28"/>
      <c r="O580" s="28"/>
      <c r="P580" s="28"/>
      <c r="Q580" s="28"/>
      <c r="R580" s="35"/>
      <c r="S580" s="28"/>
    </row>
    <row r="581" customFormat="false" ht="15" hidden="false" customHeight="false" outlineLevel="0" collapsed="false">
      <c r="A581" s="34" t="str">
        <f aca="false">IF(E581="","",ROW()-3)</f>
        <v/>
      </c>
      <c r="B581" s="35"/>
      <c r="C581" s="28"/>
      <c r="D581" s="28"/>
      <c r="E581" s="28"/>
      <c r="F581" s="28"/>
      <c r="G581" s="32" t="str">
        <f aca="false">IF(E581="","",IFERROR(INDEX(Товары!$D$4:$D$200,MATCH(E581,Товары!$B$4:$B$200,0)),0))</f>
        <v/>
      </c>
      <c r="H581" s="29"/>
      <c r="I581" s="32" t="str">
        <f aca="false">IF(OR(E581="",F581=""),"",F581*G581-N(H581))</f>
        <v/>
      </c>
      <c r="J581" s="29"/>
      <c r="K581" s="32" t="str">
        <f aca="false">IF(AND(I581="",N(J581)=0),"",N(I581)+N(J581))</f>
        <v/>
      </c>
      <c r="L581" s="32" t="str">
        <f aca="false">IF(OR(E581="",F581=""),"",F581*IFERROR(INDEX(Товары!$C$4:$C$200,MATCH(E581,Товары!$B$4:$B$200,0)),0))</f>
        <v/>
      </c>
      <c r="M581" s="32" t="str">
        <f aca="false">IF(I581="","",I581-L581)</f>
        <v/>
      </c>
      <c r="N581" s="28"/>
      <c r="O581" s="28"/>
      <c r="P581" s="28"/>
      <c r="Q581" s="28"/>
      <c r="R581" s="35"/>
      <c r="S581" s="28"/>
    </row>
    <row r="582" customFormat="false" ht="15" hidden="false" customHeight="false" outlineLevel="0" collapsed="false">
      <c r="A582" s="34" t="str">
        <f aca="false">IF(E582="","",ROW()-3)</f>
        <v/>
      </c>
      <c r="B582" s="35"/>
      <c r="C582" s="28"/>
      <c r="D582" s="28"/>
      <c r="E582" s="28"/>
      <c r="F582" s="28"/>
      <c r="G582" s="32" t="str">
        <f aca="false">IF(E582="","",IFERROR(INDEX(Товары!$D$4:$D$200,MATCH(E582,Товары!$B$4:$B$200,0)),0))</f>
        <v/>
      </c>
      <c r="H582" s="29"/>
      <c r="I582" s="32" t="str">
        <f aca="false">IF(OR(E582="",F582=""),"",F582*G582-N(H582))</f>
        <v/>
      </c>
      <c r="J582" s="29"/>
      <c r="K582" s="32" t="str">
        <f aca="false">IF(AND(I582="",N(J582)=0),"",N(I582)+N(J582))</f>
        <v/>
      </c>
      <c r="L582" s="32" t="str">
        <f aca="false">IF(OR(E582="",F582=""),"",F582*IFERROR(INDEX(Товары!$C$4:$C$200,MATCH(E582,Товары!$B$4:$B$200,0)),0))</f>
        <v/>
      </c>
      <c r="M582" s="32" t="str">
        <f aca="false">IF(I582="","",I582-L582)</f>
        <v/>
      </c>
      <c r="N582" s="28"/>
      <c r="O582" s="28"/>
      <c r="P582" s="28"/>
      <c r="Q582" s="28"/>
      <c r="R582" s="35"/>
      <c r="S582" s="28"/>
    </row>
    <row r="583" customFormat="false" ht="15" hidden="false" customHeight="false" outlineLevel="0" collapsed="false">
      <c r="A583" s="34" t="str">
        <f aca="false">IF(E583="","",ROW()-3)</f>
        <v/>
      </c>
      <c r="B583" s="35"/>
      <c r="C583" s="28"/>
      <c r="D583" s="28"/>
      <c r="E583" s="28"/>
      <c r="F583" s="28"/>
      <c r="G583" s="32" t="str">
        <f aca="false">IF(E583="","",IFERROR(INDEX(Товары!$D$4:$D$200,MATCH(E583,Товары!$B$4:$B$200,0)),0))</f>
        <v/>
      </c>
      <c r="H583" s="29"/>
      <c r="I583" s="32" t="str">
        <f aca="false">IF(OR(E583="",F583=""),"",F583*G583-N(H583))</f>
        <v/>
      </c>
      <c r="J583" s="29"/>
      <c r="K583" s="32" t="str">
        <f aca="false">IF(AND(I583="",N(J583)=0),"",N(I583)+N(J583))</f>
        <v/>
      </c>
      <c r="L583" s="32" t="str">
        <f aca="false">IF(OR(E583="",F583=""),"",F583*IFERROR(INDEX(Товары!$C$4:$C$200,MATCH(E583,Товары!$B$4:$B$200,0)),0))</f>
        <v/>
      </c>
      <c r="M583" s="32" t="str">
        <f aca="false">IF(I583="","",I583-L583)</f>
        <v/>
      </c>
      <c r="N583" s="28"/>
      <c r="O583" s="28"/>
      <c r="P583" s="28"/>
      <c r="Q583" s="28"/>
      <c r="R583" s="35"/>
      <c r="S583" s="28"/>
    </row>
    <row r="584" customFormat="false" ht="15" hidden="false" customHeight="false" outlineLevel="0" collapsed="false">
      <c r="A584" s="34" t="str">
        <f aca="false">IF(E584="","",ROW()-3)</f>
        <v/>
      </c>
      <c r="B584" s="35"/>
      <c r="C584" s="28"/>
      <c r="D584" s="28"/>
      <c r="E584" s="28"/>
      <c r="F584" s="28"/>
      <c r="G584" s="32" t="str">
        <f aca="false">IF(E584="","",IFERROR(INDEX(Товары!$D$4:$D$200,MATCH(E584,Товары!$B$4:$B$200,0)),0))</f>
        <v/>
      </c>
      <c r="H584" s="29"/>
      <c r="I584" s="32" t="str">
        <f aca="false">IF(OR(E584="",F584=""),"",F584*G584-N(H584))</f>
        <v/>
      </c>
      <c r="J584" s="29"/>
      <c r="K584" s="32" t="str">
        <f aca="false">IF(AND(I584="",N(J584)=0),"",N(I584)+N(J584))</f>
        <v/>
      </c>
      <c r="L584" s="32" t="str">
        <f aca="false">IF(OR(E584="",F584=""),"",F584*IFERROR(INDEX(Товары!$C$4:$C$200,MATCH(E584,Товары!$B$4:$B$200,0)),0))</f>
        <v/>
      </c>
      <c r="M584" s="32" t="str">
        <f aca="false">IF(I584="","",I584-L584)</f>
        <v/>
      </c>
      <c r="N584" s="28"/>
      <c r="O584" s="28"/>
      <c r="P584" s="28"/>
      <c r="Q584" s="28"/>
      <c r="R584" s="35"/>
      <c r="S584" s="28"/>
    </row>
    <row r="585" customFormat="false" ht="15" hidden="false" customHeight="false" outlineLevel="0" collapsed="false">
      <c r="A585" s="34" t="str">
        <f aca="false">IF(E585="","",ROW()-3)</f>
        <v/>
      </c>
      <c r="B585" s="35"/>
      <c r="C585" s="28"/>
      <c r="D585" s="28"/>
      <c r="E585" s="28"/>
      <c r="F585" s="28"/>
      <c r="G585" s="32" t="str">
        <f aca="false">IF(E585="","",IFERROR(INDEX(Товары!$D$4:$D$200,MATCH(E585,Товары!$B$4:$B$200,0)),0))</f>
        <v/>
      </c>
      <c r="H585" s="29"/>
      <c r="I585" s="32" t="str">
        <f aca="false">IF(OR(E585="",F585=""),"",F585*G585-N(H585))</f>
        <v/>
      </c>
      <c r="J585" s="29"/>
      <c r="K585" s="32" t="str">
        <f aca="false">IF(AND(I585="",N(J585)=0),"",N(I585)+N(J585))</f>
        <v/>
      </c>
      <c r="L585" s="32" t="str">
        <f aca="false">IF(OR(E585="",F585=""),"",F585*IFERROR(INDEX(Товары!$C$4:$C$200,MATCH(E585,Товары!$B$4:$B$200,0)),0))</f>
        <v/>
      </c>
      <c r="M585" s="32" t="str">
        <f aca="false">IF(I585="","",I585-L585)</f>
        <v/>
      </c>
      <c r="N585" s="28"/>
      <c r="O585" s="28"/>
      <c r="P585" s="28"/>
      <c r="Q585" s="28"/>
      <c r="R585" s="35"/>
      <c r="S585" s="28"/>
    </row>
    <row r="586" customFormat="false" ht="15" hidden="false" customHeight="false" outlineLevel="0" collapsed="false">
      <c r="A586" s="34" t="str">
        <f aca="false">IF(E586="","",ROW()-3)</f>
        <v/>
      </c>
      <c r="B586" s="35"/>
      <c r="C586" s="28"/>
      <c r="D586" s="28"/>
      <c r="E586" s="28"/>
      <c r="F586" s="28"/>
      <c r="G586" s="32" t="str">
        <f aca="false">IF(E586="","",IFERROR(INDEX(Товары!$D$4:$D$200,MATCH(E586,Товары!$B$4:$B$200,0)),0))</f>
        <v/>
      </c>
      <c r="H586" s="29"/>
      <c r="I586" s="32" t="str">
        <f aca="false">IF(OR(E586="",F586=""),"",F586*G586-N(H586))</f>
        <v/>
      </c>
      <c r="J586" s="29"/>
      <c r="K586" s="32" t="str">
        <f aca="false">IF(AND(I586="",N(J586)=0),"",N(I586)+N(J586))</f>
        <v/>
      </c>
      <c r="L586" s="32" t="str">
        <f aca="false">IF(OR(E586="",F586=""),"",F586*IFERROR(INDEX(Товары!$C$4:$C$200,MATCH(E586,Товары!$B$4:$B$200,0)),0))</f>
        <v/>
      </c>
      <c r="M586" s="32" t="str">
        <f aca="false">IF(I586="","",I586-L586)</f>
        <v/>
      </c>
      <c r="N586" s="28"/>
      <c r="O586" s="28"/>
      <c r="P586" s="28"/>
      <c r="Q586" s="28"/>
      <c r="R586" s="35"/>
      <c r="S586" s="28"/>
    </row>
    <row r="587" customFormat="false" ht="15" hidden="false" customHeight="false" outlineLevel="0" collapsed="false">
      <c r="A587" s="34" t="str">
        <f aca="false">IF(E587="","",ROW()-3)</f>
        <v/>
      </c>
      <c r="B587" s="35"/>
      <c r="C587" s="28"/>
      <c r="D587" s="28"/>
      <c r="E587" s="28"/>
      <c r="F587" s="28"/>
      <c r="G587" s="32" t="str">
        <f aca="false">IF(E587="","",IFERROR(INDEX(Товары!$D$4:$D$200,MATCH(E587,Товары!$B$4:$B$200,0)),0))</f>
        <v/>
      </c>
      <c r="H587" s="29"/>
      <c r="I587" s="32" t="str">
        <f aca="false">IF(OR(E587="",F587=""),"",F587*G587-N(H587))</f>
        <v/>
      </c>
      <c r="J587" s="29"/>
      <c r="K587" s="32" t="str">
        <f aca="false">IF(AND(I587="",N(J587)=0),"",N(I587)+N(J587))</f>
        <v/>
      </c>
      <c r="L587" s="32" t="str">
        <f aca="false">IF(OR(E587="",F587=""),"",F587*IFERROR(INDEX(Товары!$C$4:$C$200,MATCH(E587,Товары!$B$4:$B$200,0)),0))</f>
        <v/>
      </c>
      <c r="M587" s="32" t="str">
        <f aca="false">IF(I587="","",I587-L587)</f>
        <v/>
      </c>
      <c r="N587" s="28"/>
      <c r="O587" s="28"/>
      <c r="P587" s="28"/>
      <c r="Q587" s="28"/>
      <c r="R587" s="35"/>
      <c r="S587" s="28"/>
    </row>
    <row r="588" customFormat="false" ht="15" hidden="false" customHeight="false" outlineLevel="0" collapsed="false">
      <c r="A588" s="34" t="str">
        <f aca="false">IF(E588="","",ROW()-3)</f>
        <v/>
      </c>
      <c r="B588" s="35"/>
      <c r="C588" s="28"/>
      <c r="D588" s="28"/>
      <c r="E588" s="28"/>
      <c r="F588" s="28"/>
      <c r="G588" s="32" t="str">
        <f aca="false">IF(E588="","",IFERROR(INDEX(Товары!$D$4:$D$200,MATCH(E588,Товары!$B$4:$B$200,0)),0))</f>
        <v/>
      </c>
      <c r="H588" s="29"/>
      <c r="I588" s="32" t="str">
        <f aca="false">IF(OR(E588="",F588=""),"",F588*G588-N(H588))</f>
        <v/>
      </c>
      <c r="J588" s="29"/>
      <c r="K588" s="32" t="str">
        <f aca="false">IF(AND(I588="",N(J588)=0),"",N(I588)+N(J588))</f>
        <v/>
      </c>
      <c r="L588" s="32" t="str">
        <f aca="false">IF(OR(E588="",F588=""),"",F588*IFERROR(INDEX(Товары!$C$4:$C$200,MATCH(E588,Товары!$B$4:$B$200,0)),0))</f>
        <v/>
      </c>
      <c r="M588" s="32" t="str">
        <f aca="false">IF(I588="","",I588-L588)</f>
        <v/>
      </c>
      <c r="N588" s="28"/>
      <c r="O588" s="28"/>
      <c r="P588" s="28"/>
      <c r="Q588" s="28"/>
      <c r="R588" s="35"/>
      <c r="S588" s="28"/>
    </row>
    <row r="589" customFormat="false" ht="15" hidden="false" customHeight="false" outlineLevel="0" collapsed="false">
      <c r="A589" s="34" t="str">
        <f aca="false">IF(E589="","",ROW()-3)</f>
        <v/>
      </c>
      <c r="B589" s="35"/>
      <c r="C589" s="28"/>
      <c r="D589" s="28"/>
      <c r="E589" s="28"/>
      <c r="F589" s="28"/>
      <c r="G589" s="32" t="str">
        <f aca="false">IF(E589="","",IFERROR(INDEX(Товары!$D$4:$D$200,MATCH(E589,Товары!$B$4:$B$200,0)),0))</f>
        <v/>
      </c>
      <c r="H589" s="29"/>
      <c r="I589" s="32" t="str">
        <f aca="false">IF(OR(E589="",F589=""),"",F589*G589-N(H589))</f>
        <v/>
      </c>
      <c r="J589" s="29"/>
      <c r="K589" s="32" t="str">
        <f aca="false">IF(AND(I589="",N(J589)=0),"",N(I589)+N(J589))</f>
        <v/>
      </c>
      <c r="L589" s="32" t="str">
        <f aca="false">IF(OR(E589="",F589=""),"",F589*IFERROR(INDEX(Товары!$C$4:$C$200,MATCH(E589,Товары!$B$4:$B$200,0)),0))</f>
        <v/>
      </c>
      <c r="M589" s="32" t="str">
        <f aca="false">IF(I589="","",I589-L589)</f>
        <v/>
      </c>
      <c r="N589" s="28"/>
      <c r="O589" s="28"/>
      <c r="P589" s="28"/>
      <c r="Q589" s="28"/>
      <c r="R589" s="35"/>
      <c r="S589" s="28"/>
    </row>
    <row r="590" customFormat="false" ht="15" hidden="false" customHeight="false" outlineLevel="0" collapsed="false">
      <c r="A590" s="34" t="str">
        <f aca="false">IF(E590="","",ROW()-3)</f>
        <v/>
      </c>
      <c r="B590" s="35"/>
      <c r="C590" s="28"/>
      <c r="D590" s="28"/>
      <c r="E590" s="28"/>
      <c r="F590" s="28"/>
      <c r="G590" s="32" t="str">
        <f aca="false">IF(E590="","",IFERROR(INDEX(Товары!$D$4:$D$200,MATCH(E590,Товары!$B$4:$B$200,0)),0))</f>
        <v/>
      </c>
      <c r="H590" s="29"/>
      <c r="I590" s="32" t="str">
        <f aca="false">IF(OR(E590="",F590=""),"",F590*G590-N(H590))</f>
        <v/>
      </c>
      <c r="J590" s="29"/>
      <c r="K590" s="32" t="str">
        <f aca="false">IF(AND(I590="",N(J590)=0),"",N(I590)+N(J590))</f>
        <v/>
      </c>
      <c r="L590" s="32" t="str">
        <f aca="false">IF(OR(E590="",F590=""),"",F590*IFERROR(INDEX(Товары!$C$4:$C$200,MATCH(E590,Товары!$B$4:$B$200,0)),0))</f>
        <v/>
      </c>
      <c r="M590" s="32" t="str">
        <f aca="false">IF(I590="","",I590-L590)</f>
        <v/>
      </c>
      <c r="N590" s="28"/>
      <c r="O590" s="28"/>
      <c r="P590" s="28"/>
      <c r="Q590" s="28"/>
      <c r="R590" s="35"/>
      <c r="S590" s="28"/>
    </row>
    <row r="591" customFormat="false" ht="15" hidden="false" customHeight="false" outlineLevel="0" collapsed="false">
      <c r="A591" s="34" t="str">
        <f aca="false">IF(E591="","",ROW()-3)</f>
        <v/>
      </c>
      <c r="B591" s="35"/>
      <c r="C591" s="28"/>
      <c r="D591" s="28"/>
      <c r="E591" s="28"/>
      <c r="F591" s="28"/>
      <c r="G591" s="32" t="str">
        <f aca="false">IF(E591="","",IFERROR(INDEX(Товары!$D$4:$D$200,MATCH(E591,Товары!$B$4:$B$200,0)),0))</f>
        <v/>
      </c>
      <c r="H591" s="29"/>
      <c r="I591" s="32" t="str">
        <f aca="false">IF(OR(E591="",F591=""),"",F591*G591-N(H591))</f>
        <v/>
      </c>
      <c r="J591" s="29"/>
      <c r="K591" s="32" t="str">
        <f aca="false">IF(AND(I591="",N(J591)=0),"",N(I591)+N(J591))</f>
        <v/>
      </c>
      <c r="L591" s="32" t="str">
        <f aca="false">IF(OR(E591="",F591=""),"",F591*IFERROR(INDEX(Товары!$C$4:$C$200,MATCH(E591,Товары!$B$4:$B$200,0)),0))</f>
        <v/>
      </c>
      <c r="M591" s="32" t="str">
        <f aca="false">IF(I591="","",I591-L591)</f>
        <v/>
      </c>
      <c r="N591" s="28"/>
      <c r="O591" s="28"/>
      <c r="P591" s="28"/>
      <c r="Q591" s="28"/>
      <c r="R591" s="35"/>
      <c r="S591" s="28"/>
    </row>
    <row r="592" customFormat="false" ht="15" hidden="false" customHeight="false" outlineLevel="0" collapsed="false">
      <c r="A592" s="34" t="str">
        <f aca="false">IF(E592="","",ROW()-3)</f>
        <v/>
      </c>
      <c r="B592" s="35"/>
      <c r="C592" s="28"/>
      <c r="D592" s="28"/>
      <c r="E592" s="28"/>
      <c r="F592" s="28"/>
      <c r="G592" s="32" t="str">
        <f aca="false">IF(E592="","",IFERROR(INDEX(Товары!$D$4:$D$200,MATCH(E592,Товары!$B$4:$B$200,0)),0))</f>
        <v/>
      </c>
      <c r="H592" s="29"/>
      <c r="I592" s="32" t="str">
        <f aca="false">IF(OR(E592="",F592=""),"",F592*G592-N(H592))</f>
        <v/>
      </c>
      <c r="J592" s="29"/>
      <c r="K592" s="32" t="str">
        <f aca="false">IF(AND(I592="",N(J592)=0),"",N(I592)+N(J592))</f>
        <v/>
      </c>
      <c r="L592" s="32" t="str">
        <f aca="false">IF(OR(E592="",F592=""),"",F592*IFERROR(INDEX(Товары!$C$4:$C$200,MATCH(E592,Товары!$B$4:$B$200,0)),0))</f>
        <v/>
      </c>
      <c r="M592" s="32" t="str">
        <f aca="false">IF(I592="","",I592-L592)</f>
        <v/>
      </c>
      <c r="N592" s="28"/>
      <c r="O592" s="28"/>
      <c r="P592" s="28"/>
      <c r="Q592" s="28"/>
      <c r="R592" s="35"/>
      <c r="S592" s="28"/>
    </row>
    <row r="593" customFormat="false" ht="15" hidden="false" customHeight="false" outlineLevel="0" collapsed="false">
      <c r="A593" s="34" t="str">
        <f aca="false">IF(E593="","",ROW()-3)</f>
        <v/>
      </c>
      <c r="B593" s="35"/>
      <c r="C593" s="28"/>
      <c r="D593" s="28"/>
      <c r="E593" s="28"/>
      <c r="F593" s="28"/>
      <c r="G593" s="32" t="str">
        <f aca="false">IF(E593="","",IFERROR(INDEX(Товары!$D$4:$D$200,MATCH(E593,Товары!$B$4:$B$200,0)),0))</f>
        <v/>
      </c>
      <c r="H593" s="29"/>
      <c r="I593" s="32" t="str">
        <f aca="false">IF(OR(E593="",F593=""),"",F593*G593-N(H593))</f>
        <v/>
      </c>
      <c r="J593" s="29"/>
      <c r="K593" s="32" t="str">
        <f aca="false">IF(AND(I593="",N(J593)=0),"",N(I593)+N(J593))</f>
        <v/>
      </c>
      <c r="L593" s="32" t="str">
        <f aca="false">IF(OR(E593="",F593=""),"",F593*IFERROR(INDEX(Товары!$C$4:$C$200,MATCH(E593,Товары!$B$4:$B$200,0)),0))</f>
        <v/>
      </c>
      <c r="M593" s="32" t="str">
        <f aca="false">IF(I593="","",I593-L593)</f>
        <v/>
      </c>
      <c r="N593" s="28"/>
      <c r="O593" s="28"/>
      <c r="P593" s="28"/>
      <c r="Q593" s="28"/>
      <c r="R593" s="35"/>
      <c r="S593" s="28"/>
    </row>
    <row r="594" customFormat="false" ht="15" hidden="false" customHeight="false" outlineLevel="0" collapsed="false">
      <c r="A594" s="34" t="str">
        <f aca="false">IF(E594="","",ROW()-3)</f>
        <v/>
      </c>
      <c r="B594" s="35"/>
      <c r="C594" s="28"/>
      <c r="D594" s="28"/>
      <c r="E594" s="28"/>
      <c r="F594" s="28"/>
      <c r="G594" s="32" t="str">
        <f aca="false">IF(E594="","",IFERROR(INDEX(Товары!$D$4:$D$200,MATCH(E594,Товары!$B$4:$B$200,0)),0))</f>
        <v/>
      </c>
      <c r="H594" s="29"/>
      <c r="I594" s="32" t="str">
        <f aca="false">IF(OR(E594="",F594=""),"",F594*G594-N(H594))</f>
        <v/>
      </c>
      <c r="J594" s="29"/>
      <c r="K594" s="32" t="str">
        <f aca="false">IF(AND(I594="",N(J594)=0),"",N(I594)+N(J594))</f>
        <v/>
      </c>
      <c r="L594" s="32" t="str">
        <f aca="false">IF(OR(E594="",F594=""),"",F594*IFERROR(INDEX(Товары!$C$4:$C$200,MATCH(E594,Товары!$B$4:$B$200,0)),0))</f>
        <v/>
      </c>
      <c r="M594" s="32" t="str">
        <f aca="false">IF(I594="","",I594-L594)</f>
        <v/>
      </c>
      <c r="N594" s="28"/>
      <c r="O594" s="28"/>
      <c r="P594" s="28"/>
      <c r="Q594" s="28"/>
      <c r="R594" s="35"/>
      <c r="S594" s="28"/>
    </row>
    <row r="595" customFormat="false" ht="15" hidden="false" customHeight="false" outlineLevel="0" collapsed="false">
      <c r="A595" s="34" t="str">
        <f aca="false">IF(E595="","",ROW()-3)</f>
        <v/>
      </c>
      <c r="B595" s="35"/>
      <c r="C595" s="28"/>
      <c r="D595" s="28"/>
      <c r="E595" s="28"/>
      <c r="F595" s="28"/>
      <c r="G595" s="32" t="str">
        <f aca="false">IF(E595="","",IFERROR(INDEX(Товары!$D$4:$D$200,MATCH(E595,Товары!$B$4:$B$200,0)),0))</f>
        <v/>
      </c>
      <c r="H595" s="29"/>
      <c r="I595" s="32" t="str">
        <f aca="false">IF(OR(E595="",F595=""),"",F595*G595-N(H595))</f>
        <v/>
      </c>
      <c r="J595" s="29"/>
      <c r="K595" s="32" t="str">
        <f aca="false">IF(AND(I595="",N(J595)=0),"",N(I595)+N(J595))</f>
        <v/>
      </c>
      <c r="L595" s="32" t="str">
        <f aca="false">IF(OR(E595="",F595=""),"",F595*IFERROR(INDEX(Товары!$C$4:$C$200,MATCH(E595,Товары!$B$4:$B$200,0)),0))</f>
        <v/>
      </c>
      <c r="M595" s="32" t="str">
        <f aca="false">IF(I595="","",I595-L595)</f>
        <v/>
      </c>
      <c r="N595" s="28"/>
      <c r="O595" s="28"/>
      <c r="P595" s="28"/>
      <c r="Q595" s="28"/>
      <c r="R595" s="35"/>
      <c r="S595" s="28"/>
    </row>
    <row r="596" customFormat="false" ht="15" hidden="false" customHeight="false" outlineLevel="0" collapsed="false">
      <c r="A596" s="34" t="str">
        <f aca="false">IF(E596="","",ROW()-3)</f>
        <v/>
      </c>
      <c r="B596" s="35"/>
      <c r="C596" s="28"/>
      <c r="D596" s="28"/>
      <c r="E596" s="28"/>
      <c r="F596" s="28"/>
      <c r="G596" s="32" t="str">
        <f aca="false">IF(E596="","",IFERROR(INDEX(Товары!$D$4:$D$200,MATCH(E596,Товары!$B$4:$B$200,0)),0))</f>
        <v/>
      </c>
      <c r="H596" s="29"/>
      <c r="I596" s="32" t="str">
        <f aca="false">IF(OR(E596="",F596=""),"",F596*G596-N(H596))</f>
        <v/>
      </c>
      <c r="J596" s="29"/>
      <c r="K596" s="32" t="str">
        <f aca="false">IF(AND(I596="",N(J596)=0),"",N(I596)+N(J596))</f>
        <v/>
      </c>
      <c r="L596" s="32" t="str">
        <f aca="false">IF(OR(E596="",F596=""),"",F596*IFERROR(INDEX(Товары!$C$4:$C$200,MATCH(E596,Товары!$B$4:$B$200,0)),0))</f>
        <v/>
      </c>
      <c r="M596" s="32" t="str">
        <f aca="false">IF(I596="","",I596-L596)</f>
        <v/>
      </c>
      <c r="N596" s="28"/>
      <c r="O596" s="28"/>
      <c r="P596" s="28"/>
      <c r="Q596" s="28"/>
      <c r="R596" s="35"/>
      <c r="S596" s="28"/>
    </row>
    <row r="597" customFormat="false" ht="15" hidden="false" customHeight="false" outlineLevel="0" collapsed="false">
      <c r="A597" s="34" t="str">
        <f aca="false">IF(E597="","",ROW()-3)</f>
        <v/>
      </c>
      <c r="B597" s="35"/>
      <c r="C597" s="28"/>
      <c r="D597" s="28"/>
      <c r="E597" s="28"/>
      <c r="F597" s="28"/>
      <c r="G597" s="32" t="str">
        <f aca="false">IF(E597="","",IFERROR(INDEX(Товары!$D$4:$D$200,MATCH(E597,Товары!$B$4:$B$200,0)),0))</f>
        <v/>
      </c>
      <c r="H597" s="29"/>
      <c r="I597" s="32" t="str">
        <f aca="false">IF(OR(E597="",F597=""),"",F597*G597-N(H597))</f>
        <v/>
      </c>
      <c r="J597" s="29"/>
      <c r="K597" s="32" t="str">
        <f aca="false">IF(AND(I597="",N(J597)=0),"",N(I597)+N(J597))</f>
        <v/>
      </c>
      <c r="L597" s="32" t="str">
        <f aca="false">IF(OR(E597="",F597=""),"",F597*IFERROR(INDEX(Товары!$C$4:$C$200,MATCH(E597,Товары!$B$4:$B$200,0)),0))</f>
        <v/>
      </c>
      <c r="M597" s="32" t="str">
        <f aca="false">IF(I597="","",I597-L597)</f>
        <v/>
      </c>
      <c r="N597" s="28"/>
      <c r="O597" s="28"/>
      <c r="P597" s="28"/>
      <c r="Q597" s="28"/>
      <c r="R597" s="35"/>
      <c r="S597" s="28"/>
    </row>
    <row r="598" customFormat="false" ht="15" hidden="false" customHeight="false" outlineLevel="0" collapsed="false">
      <c r="A598" s="34" t="str">
        <f aca="false">IF(E598="","",ROW()-3)</f>
        <v/>
      </c>
      <c r="B598" s="35"/>
      <c r="C598" s="28"/>
      <c r="D598" s="28"/>
      <c r="E598" s="28"/>
      <c r="F598" s="28"/>
      <c r="G598" s="32" t="str">
        <f aca="false">IF(E598="","",IFERROR(INDEX(Товары!$D$4:$D$200,MATCH(E598,Товары!$B$4:$B$200,0)),0))</f>
        <v/>
      </c>
      <c r="H598" s="29"/>
      <c r="I598" s="32" t="str">
        <f aca="false">IF(OR(E598="",F598=""),"",F598*G598-N(H598))</f>
        <v/>
      </c>
      <c r="J598" s="29"/>
      <c r="K598" s="32" t="str">
        <f aca="false">IF(AND(I598="",N(J598)=0),"",N(I598)+N(J598))</f>
        <v/>
      </c>
      <c r="L598" s="32" t="str">
        <f aca="false">IF(OR(E598="",F598=""),"",F598*IFERROR(INDEX(Товары!$C$4:$C$200,MATCH(E598,Товары!$B$4:$B$200,0)),0))</f>
        <v/>
      </c>
      <c r="M598" s="32" t="str">
        <f aca="false">IF(I598="","",I598-L598)</f>
        <v/>
      </c>
      <c r="N598" s="28"/>
      <c r="O598" s="28"/>
      <c r="P598" s="28"/>
      <c r="Q598" s="28"/>
      <c r="R598" s="35"/>
      <c r="S598" s="28"/>
    </row>
    <row r="599" customFormat="false" ht="15" hidden="false" customHeight="false" outlineLevel="0" collapsed="false">
      <c r="A599" s="34" t="str">
        <f aca="false">IF(E599="","",ROW()-3)</f>
        <v/>
      </c>
      <c r="B599" s="35"/>
      <c r="C599" s="28"/>
      <c r="D599" s="28"/>
      <c r="E599" s="28"/>
      <c r="F599" s="28"/>
      <c r="G599" s="32" t="str">
        <f aca="false">IF(E599="","",IFERROR(INDEX(Товары!$D$4:$D$200,MATCH(E599,Товары!$B$4:$B$200,0)),0))</f>
        <v/>
      </c>
      <c r="H599" s="29"/>
      <c r="I599" s="32" t="str">
        <f aca="false">IF(OR(E599="",F599=""),"",F599*G599-N(H599))</f>
        <v/>
      </c>
      <c r="J599" s="29"/>
      <c r="K599" s="32" t="str">
        <f aca="false">IF(AND(I599="",N(J599)=0),"",N(I599)+N(J599))</f>
        <v/>
      </c>
      <c r="L599" s="32" t="str">
        <f aca="false">IF(OR(E599="",F599=""),"",F599*IFERROR(INDEX(Товары!$C$4:$C$200,MATCH(E599,Товары!$B$4:$B$200,0)),0))</f>
        <v/>
      </c>
      <c r="M599" s="32" t="str">
        <f aca="false">IF(I599="","",I599-L599)</f>
        <v/>
      </c>
      <c r="N599" s="28"/>
      <c r="O599" s="28"/>
      <c r="P599" s="28"/>
      <c r="Q599" s="28"/>
      <c r="R599" s="35"/>
      <c r="S599" s="28"/>
    </row>
    <row r="600" customFormat="false" ht="15" hidden="false" customHeight="false" outlineLevel="0" collapsed="false">
      <c r="A600" s="34" t="str">
        <f aca="false">IF(E600="","",ROW()-3)</f>
        <v/>
      </c>
      <c r="B600" s="35"/>
      <c r="C600" s="28"/>
      <c r="D600" s="28"/>
      <c r="E600" s="28"/>
      <c r="F600" s="28"/>
      <c r="G600" s="32" t="str">
        <f aca="false">IF(E600="","",IFERROR(INDEX(Товары!$D$4:$D$200,MATCH(E600,Товары!$B$4:$B$200,0)),0))</f>
        <v/>
      </c>
      <c r="H600" s="29"/>
      <c r="I600" s="32" t="str">
        <f aca="false">IF(OR(E600="",F600=""),"",F600*G600-N(H600))</f>
        <v/>
      </c>
      <c r="J600" s="29"/>
      <c r="K600" s="32" t="str">
        <f aca="false">IF(AND(I600="",N(J600)=0),"",N(I600)+N(J600))</f>
        <v/>
      </c>
      <c r="L600" s="32" t="str">
        <f aca="false">IF(OR(E600="",F600=""),"",F600*IFERROR(INDEX(Товары!$C$4:$C$200,MATCH(E600,Товары!$B$4:$B$200,0)),0))</f>
        <v/>
      </c>
      <c r="M600" s="32" t="str">
        <f aca="false">IF(I600="","",I600-L600)</f>
        <v/>
      </c>
      <c r="N600" s="28"/>
      <c r="O600" s="28"/>
      <c r="P600" s="28"/>
      <c r="Q600" s="28"/>
      <c r="R600" s="35"/>
      <c r="S600" s="28"/>
    </row>
    <row r="601" customFormat="false" ht="15" hidden="false" customHeight="false" outlineLevel="0" collapsed="false">
      <c r="A601" s="34" t="str">
        <f aca="false">IF(E601="","",ROW()-3)</f>
        <v/>
      </c>
      <c r="B601" s="35"/>
      <c r="C601" s="28"/>
      <c r="D601" s="28"/>
      <c r="E601" s="28"/>
      <c r="F601" s="28"/>
      <c r="G601" s="32" t="str">
        <f aca="false">IF(E601="","",IFERROR(INDEX(Товары!$D$4:$D$200,MATCH(E601,Товары!$B$4:$B$200,0)),0))</f>
        <v/>
      </c>
      <c r="H601" s="29"/>
      <c r="I601" s="32" t="str">
        <f aca="false">IF(OR(E601="",F601=""),"",F601*G601-N(H601))</f>
        <v/>
      </c>
      <c r="J601" s="29"/>
      <c r="K601" s="32" t="str">
        <f aca="false">IF(AND(I601="",N(J601)=0),"",N(I601)+N(J601))</f>
        <v/>
      </c>
      <c r="L601" s="32" t="str">
        <f aca="false">IF(OR(E601="",F601=""),"",F601*IFERROR(INDEX(Товары!$C$4:$C$200,MATCH(E601,Товары!$B$4:$B$200,0)),0))</f>
        <v/>
      </c>
      <c r="M601" s="32" t="str">
        <f aca="false">IF(I601="","",I601-L601)</f>
        <v/>
      </c>
      <c r="N601" s="28"/>
      <c r="O601" s="28"/>
      <c r="P601" s="28"/>
      <c r="Q601" s="28"/>
      <c r="R601" s="35"/>
      <c r="S601" s="28"/>
    </row>
    <row r="602" customFormat="false" ht="15" hidden="false" customHeight="false" outlineLevel="0" collapsed="false">
      <c r="A602" s="34" t="str">
        <f aca="false">IF(E602="","",ROW()-3)</f>
        <v/>
      </c>
      <c r="B602" s="35"/>
      <c r="C602" s="28"/>
      <c r="D602" s="28"/>
      <c r="E602" s="28"/>
      <c r="F602" s="28"/>
      <c r="G602" s="32" t="str">
        <f aca="false">IF(E602="","",IFERROR(INDEX(Товары!$D$4:$D$200,MATCH(E602,Товары!$B$4:$B$200,0)),0))</f>
        <v/>
      </c>
      <c r="H602" s="29"/>
      <c r="I602" s="32" t="str">
        <f aca="false">IF(OR(E602="",F602=""),"",F602*G602-N(H602))</f>
        <v/>
      </c>
      <c r="J602" s="29"/>
      <c r="K602" s="32" t="str">
        <f aca="false">IF(AND(I602="",N(J602)=0),"",N(I602)+N(J602))</f>
        <v/>
      </c>
      <c r="L602" s="32" t="str">
        <f aca="false">IF(OR(E602="",F602=""),"",F602*IFERROR(INDEX(Товары!$C$4:$C$200,MATCH(E602,Товары!$B$4:$B$200,0)),0))</f>
        <v/>
      </c>
      <c r="M602" s="32" t="str">
        <f aca="false">IF(I602="","",I602-L602)</f>
        <v/>
      </c>
      <c r="N602" s="28"/>
      <c r="O602" s="28"/>
      <c r="P602" s="28"/>
      <c r="Q602" s="28"/>
      <c r="R602" s="35"/>
      <c r="S602" s="28"/>
    </row>
    <row r="603" customFormat="false" ht="15" hidden="false" customHeight="false" outlineLevel="0" collapsed="false">
      <c r="A603" s="34" t="str">
        <f aca="false">IF(E603="","",ROW()-3)</f>
        <v/>
      </c>
      <c r="B603" s="35"/>
      <c r="C603" s="28"/>
      <c r="D603" s="28"/>
      <c r="E603" s="28"/>
      <c r="F603" s="28"/>
      <c r="G603" s="32" t="str">
        <f aca="false">IF(E603="","",IFERROR(INDEX(Товары!$D$4:$D$200,MATCH(E603,Товары!$B$4:$B$200,0)),0))</f>
        <v/>
      </c>
      <c r="H603" s="29"/>
      <c r="I603" s="32" t="str">
        <f aca="false">IF(OR(E603="",F603=""),"",F603*G603-N(H603))</f>
        <v/>
      </c>
      <c r="J603" s="29"/>
      <c r="K603" s="32" t="str">
        <f aca="false">IF(AND(I603="",N(J603)=0),"",N(I603)+N(J603))</f>
        <v/>
      </c>
      <c r="L603" s="32" t="str">
        <f aca="false">IF(OR(E603="",F603=""),"",F603*IFERROR(INDEX(Товары!$C$4:$C$200,MATCH(E603,Товары!$B$4:$B$200,0)),0))</f>
        <v/>
      </c>
      <c r="M603" s="32" t="str">
        <f aca="false">IF(I603="","",I603-L603)</f>
        <v/>
      </c>
      <c r="N603" s="28"/>
      <c r="O603" s="28"/>
      <c r="P603" s="28"/>
      <c r="Q603" s="28"/>
      <c r="R603" s="35"/>
      <c r="S603" s="28"/>
    </row>
    <row r="604" customFormat="false" ht="15" hidden="false" customHeight="false" outlineLevel="0" collapsed="false">
      <c r="A604" s="34" t="str">
        <f aca="false">IF(E604="","",ROW()-3)</f>
        <v/>
      </c>
      <c r="B604" s="35"/>
      <c r="C604" s="28"/>
      <c r="D604" s="28"/>
      <c r="E604" s="28"/>
      <c r="F604" s="28"/>
      <c r="G604" s="32" t="str">
        <f aca="false">IF(E604="","",IFERROR(INDEX(Товары!$D$4:$D$200,MATCH(E604,Товары!$B$4:$B$200,0)),0))</f>
        <v/>
      </c>
      <c r="H604" s="29"/>
      <c r="I604" s="32" t="str">
        <f aca="false">IF(OR(E604="",F604=""),"",F604*G604-N(H604))</f>
        <v/>
      </c>
      <c r="J604" s="29"/>
      <c r="K604" s="32" t="str">
        <f aca="false">IF(AND(I604="",N(J604)=0),"",N(I604)+N(J604))</f>
        <v/>
      </c>
      <c r="L604" s="32" t="str">
        <f aca="false">IF(OR(E604="",F604=""),"",F604*IFERROR(INDEX(Товары!$C$4:$C$200,MATCH(E604,Товары!$B$4:$B$200,0)),0))</f>
        <v/>
      </c>
      <c r="M604" s="32" t="str">
        <f aca="false">IF(I604="","",I604-L604)</f>
        <v/>
      </c>
      <c r="N604" s="28"/>
      <c r="O604" s="28"/>
      <c r="P604" s="28"/>
      <c r="Q604" s="28"/>
      <c r="R604" s="35"/>
      <c r="S604" s="28"/>
    </row>
    <row r="605" customFormat="false" ht="15" hidden="false" customHeight="false" outlineLevel="0" collapsed="false">
      <c r="A605" s="34" t="str">
        <f aca="false">IF(E605="","",ROW()-3)</f>
        <v/>
      </c>
      <c r="B605" s="35"/>
      <c r="C605" s="28"/>
      <c r="D605" s="28"/>
      <c r="E605" s="28"/>
      <c r="F605" s="28"/>
      <c r="G605" s="32" t="str">
        <f aca="false">IF(E605="","",IFERROR(INDEX(Товары!$D$4:$D$200,MATCH(E605,Товары!$B$4:$B$200,0)),0))</f>
        <v/>
      </c>
      <c r="H605" s="29"/>
      <c r="I605" s="32" t="str">
        <f aca="false">IF(OR(E605="",F605=""),"",F605*G605-N(H605))</f>
        <v/>
      </c>
      <c r="J605" s="29"/>
      <c r="K605" s="32" t="str">
        <f aca="false">IF(AND(I605="",N(J605)=0),"",N(I605)+N(J605))</f>
        <v/>
      </c>
      <c r="L605" s="32" t="str">
        <f aca="false">IF(OR(E605="",F605=""),"",F605*IFERROR(INDEX(Товары!$C$4:$C$200,MATCH(E605,Товары!$B$4:$B$200,0)),0))</f>
        <v/>
      </c>
      <c r="M605" s="32" t="str">
        <f aca="false">IF(I605="","",I605-L605)</f>
        <v/>
      </c>
      <c r="N605" s="28"/>
      <c r="O605" s="28"/>
      <c r="P605" s="28"/>
      <c r="Q605" s="28"/>
      <c r="R605" s="35"/>
      <c r="S605" s="28"/>
    </row>
    <row r="606" customFormat="false" ht="15" hidden="false" customHeight="false" outlineLevel="0" collapsed="false">
      <c r="A606" s="34" t="str">
        <f aca="false">IF(E606="","",ROW()-3)</f>
        <v/>
      </c>
      <c r="B606" s="35"/>
      <c r="C606" s="28"/>
      <c r="D606" s="28"/>
      <c r="E606" s="28"/>
      <c r="F606" s="28"/>
      <c r="G606" s="32" t="str">
        <f aca="false">IF(E606="","",IFERROR(INDEX(Товары!$D$4:$D$200,MATCH(E606,Товары!$B$4:$B$200,0)),0))</f>
        <v/>
      </c>
      <c r="H606" s="29"/>
      <c r="I606" s="32" t="str">
        <f aca="false">IF(OR(E606="",F606=""),"",F606*G606-N(H606))</f>
        <v/>
      </c>
      <c r="J606" s="29"/>
      <c r="K606" s="32" t="str">
        <f aca="false">IF(AND(I606="",N(J606)=0),"",N(I606)+N(J606))</f>
        <v/>
      </c>
      <c r="L606" s="32" t="str">
        <f aca="false">IF(OR(E606="",F606=""),"",F606*IFERROR(INDEX(Товары!$C$4:$C$200,MATCH(E606,Товары!$B$4:$B$200,0)),0))</f>
        <v/>
      </c>
      <c r="M606" s="32" t="str">
        <f aca="false">IF(I606="","",I606-L606)</f>
        <v/>
      </c>
      <c r="N606" s="28"/>
      <c r="O606" s="28"/>
      <c r="P606" s="28"/>
      <c r="Q606" s="28"/>
      <c r="R606" s="35"/>
      <c r="S606" s="28"/>
    </row>
    <row r="607" customFormat="false" ht="15" hidden="false" customHeight="false" outlineLevel="0" collapsed="false">
      <c r="A607" s="34" t="str">
        <f aca="false">IF(E607="","",ROW()-3)</f>
        <v/>
      </c>
      <c r="B607" s="35"/>
      <c r="C607" s="28"/>
      <c r="D607" s="28"/>
      <c r="E607" s="28"/>
      <c r="F607" s="28"/>
      <c r="G607" s="32" t="str">
        <f aca="false">IF(E607="","",IFERROR(INDEX(Товары!$D$4:$D$200,MATCH(E607,Товары!$B$4:$B$200,0)),0))</f>
        <v/>
      </c>
      <c r="H607" s="29"/>
      <c r="I607" s="32" t="str">
        <f aca="false">IF(OR(E607="",F607=""),"",F607*G607-N(H607))</f>
        <v/>
      </c>
      <c r="J607" s="29"/>
      <c r="K607" s="32" t="str">
        <f aca="false">IF(AND(I607="",N(J607)=0),"",N(I607)+N(J607))</f>
        <v/>
      </c>
      <c r="L607" s="32" t="str">
        <f aca="false">IF(OR(E607="",F607=""),"",F607*IFERROR(INDEX(Товары!$C$4:$C$200,MATCH(E607,Товары!$B$4:$B$200,0)),0))</f>
        <v/>
      </c>
      <c r="M607" s="32" t="str">
        <f aca="false">IF(I607="","",I607-L607)</f>
        <v/>
      </c>
      <c r="N607" s="28"/>
      <c r="O607" s="28"/>
      <c r="P607" s="28"/>
      <c r="Q607" s="28"/>
      <c r="R607" s="35"/>
      <c r="S607" s="28"/>
    </row>
    <row r="608" customFormat="false" ht="15" hidden="false" customHeight="false" outlineLevel="0" collapsed="false">
      <c r="A608" s="34" t="str">
        <f aca="false">IF(E608="","",ROW()-3)</f>
        <v/>
      </c>
      <c r="B608" s="35"/>
      <c r="C608" s="28"/>
      <c r="D608" s="28"/>
      <c r="E608" s="28"/>
      <c r="F608" s="28"/>
      <c r="G608" s="32" t="str">
        <f aca="false">IF(E608="","",IFERROR(INDEX(Товары!$D$4:$D$200,MATCH(E608,Товары!$B$4:$B$200,0)),0))</f>
        <v/>
      </c>
      <c r="H608" s="29"/>
      <c r="I608" s="32" t="str">
        <f aca="false">IF(OR(E608="",F608=""),"",F608*G608-N(H608))</f>
        <v/>
      </c>
      <c r="J608" s="29"/>
      <c r="K608" s="32" t="str">
        <f aca="false">IF(AND(I608="",N(J608)=0),"",N(I608)+N(J608))</f>
        <v/>
      </c>
      <c r="L608" s="32" t="str">
        <f aca="false">IF(OR(E608="",F608=""),"",F608*IFERROR(INDEX(Товары!$C$4:$C$200,MATCH(E608,Товары!$B$4:$B$200,0)),0))</f>
        <v/>
      </c>
      <c r="M608" s="32" t="str">
        <f aca="false">IF(I608="","",I608-L608)</f>
        <v/>
      </c>
      <c r="N608" s="28"/>
      <c r="O608" s="28"/>
      <c r="P608" s="28"/>
      <c r="Q608" s="28"/>
      <c r="R608" s="35"/>
      <c r="S608" s="28"/>
    </row>
    <row r="609" customFormat="false" ht="15" hidden="false" customHeight="false" outlineLevel="0" collapsed="false">
      <c r="A609" s="34" t="str">
        <f aca="false">IF(E609="","",ROW()-3)</f>
        <v/>
      </c>
      <c r="B609" s="35"/>
      <c r="C609" s="28"/>
      <c r="D609" s="28"/>
      <c r="E609" s="28"/>
      <c r="F609" s="28"/>
      <c r="G609" s="32" t="str">
        <f aca="false">IF(E609="","",IFERROR(INDEX(Товары!$D$4:$D$200,MATCH(E609,Товары!$B$4:$B$200,0)),0))</f>
        <v/>
      </c>
      <c r="H609" s="29"/>
      <c r="I609" s="32" t="str">
        <f aca="false">IF(OR(E609="",F609=""),"",F609*G609-N(H609))</f>
        <v/>
      </c>
      <c r="J609" s="29"/>
      <c r="K609" s="32" t="str">
        <f aca="false">IF(AND(I609="",N(J609)=0),"",N(I609)+N(J609))</f>
        <v/>
      </c>
      <c r="L609" s="32" t="str">
        <f aca="false">IF(OR(E609="",F609=""),"",F609*IFERROR(INDEX(Товары!$C$4:$C$200,MATCH(E609,Товары!$B$4:$B$200,0)),0))</f>
        <v/>
      </c>
      <c r="M609" s="32" t="str">
        <f aca="false">IF(I609="","",I609-L609)</f>
        <v/>
      </c>
      <c r="N609" s="28"/>
      <c r="O609" s="28"/>
      <c r="P609" s="28"/>
      <c r="Q609" s="28"/>
      <c r="R609" s="35"/>
      <c r="S609" s="28"/>
    </row>
    <row r="610" customFormat="false" ht="15" hidden="false" customHeight="false" outlineLevel="0" collapsed="false">
      <c r="A610" s="34" t="str">
        <f aca="false">IF(E610="","",ROW()-3)</f>
        <v/>
      </c>
      <c r="B610" s="35"/>
      <c r="C610" s="28"/>
      <c r="D610" s="28"/>
      <c r="E610" s="28"/>
      <c r="F610" s="28"/>
      <c r="G610" s="32" t="str">
        <f aca="false">IF(E610="","",IFERROR(INDEX(Товары!$D$4:$D$200,MATCH(E610,Товары!$B$4:$B$200,0)),0))</f>
        <v/>
      </c>
      <c r="H610" s="29"/>
      <c r="I610" s="32" t="str">
        <f aca="false">IF(OR(E610="",F610=""),"",F610*G610-N(H610))</f>
        <v/>
      </c>
      <c r="J610" s="29"/>
      <c r="K610" s="32" t="str">
        <f aca="false">IF(AND(I610="",N(J610)=0),"",N(I610)+N(J610))</f>
        <v/>
      </c>
      <c r="L610" s="32" t="str">
        <f aca="false">IF(OR(E610="",F610=""),"",F610*IFERROR(INDEX(Товары!$C$4:$C$200,MATCH(E610,Товары!$B$4:$B$200,0)),0))</f>
        <v/>
      </c>
      <c r="M610" s="32" t="str">
        <f aca="false">IF(I610="","",I610-L610)</f>
        <v/>
      </c>
      <c r="N610" s="28"/>
      <c r="O610" s="28"/>
      <c r="P610" s="28"/>
      <c r="Q610" s="28"/>
      <c r="R610" s="35"/>
      <c r="S610" s="28"/>
    </row>
    <row r="611" customFormat="false" ht="15" hidden="false" customHeight="false" outlineLevel="0" collapsed="false">
      <c r="A611" s="34" t="str">
        <f aca="false">IF(E611="","",ROW()-3)</f>
        <v/>
      </c>
      <c r="B611" s="35"/>
      <c r="C611" s="28"/>
      <c r="D611" s="28"/>
      <c r="E611" s="28"/>
      <c r="F611" s="28"/>
      <c r="G611" s="32" t="str">
        <f aca="false">IF(E611="","",IFERROR(INDEX(Товары!$D$4:$D$200,MATCH(E611,Товары!$B$4:$B$200,0)),0))</f>
        <v/>
      </c>
      <c r="H611" s="29"/>
      <c r="I611" s="32" t="str">
        <f aca="false">IF(OR(E611="",F611=""),"",F611*G611-N(H611))</f>
        <v/>
      </c>
      <c r="J611" s="29"/>
      <c r="K611" s="32" t="str">
        <f aca="false">IF(AND(I611="",N(J611)=0),"",N(I611)+N(J611))</f>
        <v/>
      </c>
      <c r="L611" s="32" t="str">
        <f aca="false">IF(OR(E611="",F611=""),"",F611*IFERROR(INDEX(Товары!$C$4:$C$200,MATCH(E611,Товары!$B$4:$B$200,0)),0))</f>
        <v/>
      </c>
      <c r="M611" s="32" t="str">
        <f aca="false">IF(I611="","",I611-L611)</f>
        <v/>
      </c>
      <c r="N611" s="28"/>
      <c r="O611" s="28"/>
      <c r="P611" s="28"/>
      <c r="Q611" s="28"/>
      <c r="R611" s="35"/>
      <c r="S611" s="28"/>
    </row>
    <row r="612" customFormat="false" ht="15" hidden="false" customHeight="false" outlineLevel="0" collapsed="false">
      <c r="A612" s="34" t="str">
        <f aca="false">IF(E612="","",ROW()-3)</f>
        <v/>
      </c>
      <c r="B612" s="35"/>
      <c r="C612" s="28"/>
      <c r="D612" s="28"/>
      <c r="E612" s="28"/>
      <c r="F612" s="28"/>
      <c r="G612" s="32" t="str">
        <f aca="false">IF(E612="","",IFERROR(INDEX(Товары!$D$4:$D$200,MATCH(E612,Товары!$B$4:$B$200,0)),0))</f>
        <v/>
      </c>
      <c r="H612" s="29"/>
      <c r="I612" s="32" t="str">
        <f aca="false">IF(OR(E612="",F612=""),"",F612*G612-N(H612))</f>
        <v/>
      </c>
      <c r="J612" s="29"/>
      <c r="K612" s="32" t="str">
        <f aca="false">IF(AND(I612="",N(J612)=0),"",N(I612)+N(J612))</f>
        <v/>
      </c>
      <c r="L612" s="32" t="str">
        <f aca="false">IF(OR(E612="",F612=""),"",F612*IFERROR(INDEX(Товары!$C$4:$C$200,MATCH(E612,Товары!$B$4:$B$200,0)),0))</f>
        <v/>
      </c>
      <c r="M612" s="32" t="str">
        <f aca="false">IF(I612="","",I612-L612)</f>
        <v/>
      </c>
      <c r="N612" s="28"/>
      <c r="O612" s="28"/>
      <c r="P612" s="28"/>
      <c r="Q612" s="28"/>
      <c r="R612" s="35"/>
      <c r="S612" s="28"/>
    </row>
    <row r="613" customFormat="false" ht="15" hidden="false" customHeight="false" outlineLevel="0" collapsed="false">
      <c r="A613" s="34" t="str">
        <f aca="false">IF(E613="","",ROW()-3)</f>
        <v/>
      </c>
      <c r="B613" s="35"/>
      <c r="C613" s="28"/>
      <c r="D613" s="28"/>
      <c r="E613" s="28"/>
      <c r="F613" s="28"/>
      <c r="G613" s="32" t="str">
        <f aca="false">IF(E613="","",IFERROR(INDEX(Товары!$D$4:$D$200,MATCH(E613,Товары!$B$4:$B$200,0)),0))</f>
        <v/>
      </c>
      <c r="H613" s="29"/>
      <c r="I613" s="32" t="str">
        <f aca="false">IF(OR(E613="",F613=""),"",F613*G613-N(H613))</f>
        <v/>
      </c>
      <c r="J613" s="29"/>
      <c r="K613" s="32" t="str">
        <f aca="false">IF(AND(I613="",N(J613)=0),"",N(I613)+N(J613))</f>
        <v/>
      </c>
      <c r="L613" s="32" t="str">
        <f aca="false">IF(OR(E613="",F613=""),"",F613*IFERROR(INDEX(Товары!$C$4:$C$200,MATCH(E613,Товары!$B$4:$B$200,0)),0))</f>
        <v/>
      </c>
      <c r="M613" s="32" t="str">
        <f aca="false">IF(I613="","",I613-L613)</f>
        <v/>
      </c>
      <c r="N613" s="28"/>
      <c r="O613" s="28"/>
      <c r="P613" s="28"/>
      <c r="Q613" s="28"/>
      <c r="R613" s="35"/>
      <c r="S613" s="28"/>
    </row>
    <row r="614" customFormat="false" ht="15" hidden="false" customHeight="false" outlineLevel="0" collapsed="false">
      <c r="A614" s="34" t="str">
        <f aca="false">IF(E614="","",ROW()-3)</f>
        <v/>
      </c>
      <c r="B614" s="35"/>
      <c r="C614" s="28"/>
      <c r="D614" s="28"/>
      <c r="E614" s="28"/>
      <c r="F614" s="28"/>
      <c r="G614" s="32" t="str">
        <f aca="false">IF(E614="","",IFERROR(INDEX(Товары!$D$4:$D$200,MATCH(E614,Товары!$B$4:$B$200,0)),0))</f>
        <v/>
      </c>
      <c r="H614" s="29"/>
      <c r="I614" s="32" t="str">
        <f aca="false">IF(OR(E614="",F614=""),"",F614*G614-N(H614))</f>
        <v/>
      </c>
      <c r="J614" s="29"/>
      <c r="K614" s="32" t="str">
        <f aca="false">IF(AND(I614="",N(J614)=0),"",N(I614)+N(J614))</f>
        <v/>
      </c>
      <c r="L614" s="32" t="str">
        <f aca="false">IF(OR(E614="",F614=""),"",F614*IFERROR(INDEX(Товары!$C$4:$C$200,MATCH(E614,Товары!$B$4:$B$200,0)),0))</f>
        <v/>
      </c>
      <c r="M614" s="32" t="str">
        <f aca="false">IF(I614="","",I614-L614)</f>
        <v/>
      </c>
      <c r="N614" s="28"/>
      <c r="O614" s="28"/>
      <c r="P614" s="28"/>
      <c r="Q614" s="28"/>
      <c r="R614" s="35"/>
      <c r="S614" s="28"/>
    </row>
    <row r="615" customFormat="false" ht="15" hidden="false" customHeight="false" outlineLevel="0" collapsed="false">
      <c r="A615" s="34" t="str">
        <f aca="false">IF(E615="","",ROW()-3)</f>
        <v/>
      </c>
      <c r="B615" s="35"/>
      <c r="C615" s="28"/>
      <c r="D615" s="28"/>
      <c r="E615" s="28"/>
      <c r="F615" s="28"/>
      <c r="G615" s="32" t="str">
        <f aca="false">IF(E615="","",IFERROR(INDEX(Товары!$D$4:$D$200,MATCH(E615,Товары!$B$4:$B$200,0)),0))</f>
        <v/>
      </c>
      <c r="H615" s="29"/>
      <c r="I615" s="32" t="str">
        <f aca="false">IF(OR(E615="",F615=""),"",F615*G615-N(H615))</f>
        <v/>
      </c>
      <c r="J615" s="29"/>
      <c r="K615" s="32" t="str">
        <f aca="false">IF(AND(I615="",N(J615)=0),"",N(I615)+N(J615))</f>
        <v/>
      </c>
      <c r="L615" s="32" t="str">
        <f aca="false">IF(OR(E615="",F615=""),"",F615*IFERROR(INDEX(Товары!$C$4:$C$200,MATCH(E615,Товары!$B$4:$B$200,0)),0))</f>
        <v/>
      </c>
      <c r="M615" s="32" t="str">
        <f aca="false">IF(I615="","",I615-L615)</f>
        <v/>
      </c>
      <c r="N615" s="28"/>
      <c r="O615" s="28"/>
      <c r="P615" s="28"/>
      <c r="Q615" s="28"/>
      <c r="R615" s="35"/>
      <c r="S615" s="28"/>
    </row>
    <row r="616" customFormat="false" ht="15" hidden="false" customHeight="false" outlineLevel="0" collapsed="false">
      <c r="A616" s="34" t="str">
        <f aca="false">IF(E616="","",ROW()-3)</f>
        <v/>
      </c>
      <c r="B616" s="35"/>
      <c r="C616" s="28"/>
      <c r="D616" s="28"/>
      <c r="E616" s="28"/>
      <c r="F616" s="28"/>
      <c r="G616" s="32" t="str">
        <f aca="false">IF(E616="","",IFERROR(INDEX(Товары!$D$4:$D$200,MATCH(E616,Товары!$B$4:$B$200,0)),0))</f>
        <v/>
      </c>
      <c r="H616" s="29"/>
      <c r="I616" s="32" t="str">
        <f aca="false">IF(OR(E616="",F616=""),"",F616*G616-N(H616))</f>
        <v/>
      </c>
      <c r="J616" s="29"/>
      <c r="K616" s="32" t="str">
        <f aca="false">IF(AND(I616="",N(J616)=0),"",N(I616)+N(J616))</f>
        <v/>
      </c>
      <c r="L616" s="32" t="str">
        <f aca="false">IF(OR(E616="",F616=""),"",F616*IFERROR(INDEX(Товары!$C$4:$C$200,MATCH(E616,Товары!$B$4:$B$200,0)),0))</f>
        <v/>
      </c>
      <c r="M616" s="32" t="str">
        <f aca="false">IF(I616="","",I616-L616)</f>
        <v/>
      </c>
      <c r="N616" s="28"/>
      <c r="O616" s="28"/>
      <c r="P616" s="28"/>
      <c r="Q616" s="28"/>
      <c r="R616" s="35"/>
      <c r="S616" s="28"/>
    </row>
    <row r="617" customFormat="false" ht="15" hidden="false" customHeight="false" outlineLevel="0" collapsed="false">
      <c r="A617" s="34" t="str">
        <f aca="false">IF(E617="","",ROW()-3)</f>
        <v/>
      </c>
      <c r="B617" s="35"/>
      <c r="C617" s="28"/>
      <c r="D617" s="28"/>
      <c r="E617" s="28"/>
      <c r="F617" s="28"/>
      <c r="G617" s="32" t="str">
        <f aca="false">IF(E617="","",IFERROR(INDEX(Товары!$D$4:$D$200,MATCH(E617,Товары!$B$4:$B$200,0)),0))</f>
        <v/>
      </c>
      <c r="H617" s="29"/>
      <c r="I617" s="32" t="str">
        <f aca="false">IF(OR(E617="",F617=""),"",F617*G617-N(H617))</f>
        <v/>
      </c>
      <c r="J617" s="29"/>
      <c r="K617" s="32" t="str">
        <f aca="false">IF(AND(I617="",N(J617)=0),"",N(I617)+N(J617))</f>
        <v/>
      </c>
      <c r="L617" s="32" t="str">
        <f aca="false">IF(OR(E617="",F617=""),"",F617*IFERROR(INDEX(Товары!$C$4:$C$200,MATCH(E617,Товары!$B$4:$B$200,0)),0))</f>
        <v/>
      </c>
      <c r="M617" s="32" t="str">
        <f aca="false">IF(I617="","",I617-L617)</f>
        <v/>
      </c>
      <c r="N617" s="28"/>
      <c r="O617" s="28"/>
      <c r="P617" s="28"/>
      <c r="Q617" s="28"/>
      <c r="R617" s="35"/>
      <c r="S617" s="28"/>
    </row>
    <row r="618" customFormat="false" ht="15" hidden="false" customHeight="false" outlineLevel="0" collapsed="false">
      <c r="A618" s="34" t="str">
        <f aca="false">IF(E618="","",ROW()-3)</f>
        <v/>
      </c>
      <c r="B618" s="35"/>
      <c r="C618" s="28"/>
      <c r="D618" s="28"/>
      <c r="E618" s="28"/>
      <c r="F618" s="28"/>
      <c r="G618" s="32" t="str">
        <f aca="false">IF(E618="","",IFERROR(INDEX(Товары!$D$4:$D$200,MATCH(E618,Товары!$B$4:$B$200,0)),0))</f>
        <v/>
      </c>
      <c r="H618" s="29"/>
      <c r="I618" s="32" t="str">
        <f aca="false">IF(OR(E618="",F618=""),"",F618*G618-N(H618))</f>
        <v/>
      </c>
      <c r="J618" s="29"/>
      <c r="K618" s="32" t="str">
        <f aca="false">IF(AND(I618="",N(J618)=0),"",N(I618)+N(J618))</f>
        <v/>
      </c>
      <c r="L618" s="32" t="str">
        <f aca="false">IF(OR(E618="",F618=""),"",F618*IFERROR(INDEX(Товары!$C$4:$C$200,MATCH(E618,Товары!$B$4:$B$200,0)),0))</f>
        <v/>
      </c>
      <c r="M618" s="32" t="str">
        <f aca="false">IF(I618="","",I618-L618)</f>
        <v/>
      </c>
      <c r="N618" s="28"/>
      <c r="O618" s="28"/>
      <c r="P618" s="28"/>
      <c r="Q618" s="28"/>
      <c r="R618" s="35"/>
      <c r="S618" s="28"/>
    </row>
    <row r="619" customFormat="false" ht="15" hidden="false" customHeight="false" outlineLevel="0" collapsed="false">
      <c r="A619" s="34" t="str">
        <f aca="false">IF(E619="","",ROW()-3)</f>
        <v/>
      </c>
      <c r="B619" s="35"/>
      <c r="C619" s="28"/>
      <c r="D619" s="28"/>
      <c r="E619" s="28"/>
      <c r="F619" s="28"/>
      <c r="G619" s="32" t="str">
        <f aca="false">IF(E619="","",IFERROR(INDEX(Товары!$D$4:$D$200,MATCH(E619,Товары!$B$4:$B$200,0)),0))</f>
        <v/>
      </c>
      <c r="H619" s="29"/>
      <c r="I619" s="32" t="str">
        <f aca="false">IF(OR(E619="",F619=""),"",F619*G619-N(H619))</f>
        <v/>
      </c>
      <c r="J619" s="29"/>
      <c r="K619" s="32" t="str">
        <f aca="false">IF(AND(I619="",N(J619)=0),"",N(I619)+N(J619))</f>
        <v/>
      </c>
      <c r="L619" s="32" t="str">
        <f aca="false">IF(OR(E619="",F619=""),"",F619*IFERROR(INDEX(Товары!$C$4:$C$200,MATCH(E619,Товары!$B$4:$B$200,0)),0))</f>
        <v/>
      </c>
      <c r="M619" s="32" t="str">
        <f aca="false">IF(I619="","",I619-L619)</f>
        <v/>
      </c>
      <c r="N619" s="28"/>
      <c r="O619" s="28"/>
      <c r="P619" s="28"/>
      <c r="Q619" s="28"/>
      <c r="R619" s="35"/>
      <c r="S619" s="28"/>
    </row>
    <row r="620" customFormat="false" ht="15" hidden="false" customHeight="false" outlineLevel="0" collapsed="false">
      <c r="A620" s="34" t="str">
        <f aca="false">IF(E620="","",ROW()-3)</f>
        <v/>
      </c>
      <c r="B620" s="35"/>
      <c r="C620" s="28"/>
      <c r="D620" s="28"/>
      <c r="E620" s="28"/>
      <c r="F620" s="28"/>
      <c r="G620" s="32" t="str">
        <f aca="false">IF(E620="","",IFERROR(INDEX(Товары!$D$4:$D$200,MATCH(E620,Товары!$B$4:$B$200,0)),0))</f>
        <v/>
      </c>
      <c r="H620" s="29"/>
      <c r="I620" s="32" t="str">
        <f aca="false">IF(OR(E620="",F620=""),"",F620*G620-N(H620))</f>
        <v/>
      </c>
      <c r="J620" s="29"/>
      <c r="K620" s="32" t="str">
        <f aca="false">IF(AND(I620="",N(J620)=0),"",N(I620)+N(J620))</f>
        <v/>
      </c>
      <c r="L620" s="32" t="str">
        <f aca="false">IF(OR(E620="",F620=""),"",F620*IFERROR(INDEX(Товары!$C$4:$C$200,MATCH(E620,Товары!$B$4:$B$200,0)),0))</f>
        <v/>
      </c>
      <c r="M620" s="32" t="str">
        <f aca="false">IF(I620="","",I620-L620)</f>
        <v/>
      </c>
      <c r="N620" s="28"/>
      <c r="O620" s="28"/>
      <c r="P620" s="28"/>
      <c r="Q620" s="28"/>
      <c r="R620" s="35"/>
      <c r="S620" s="28"/>
    </row>
    <row r="621" customFormat="false" ht="15" hidden="false" customHeight="false" outlineLevel="0" collapsed="false">
      <c r="A621" s="34" t="str">
        <f aca="false">IF(E621="","",ROW()-3)</f>
        <v/>
      </c>
      <c r="B621" s="35"/>
      <c r="C621" s="28"/>
      <c r="D621" s="28"/>
      <c r="E621" s="28"/>
      <c r="F621" s="28"/>
      <c r="G621" s="32" t="str">
        <f aca="false">IF(E621="","",IFERROR(INDEX(Товары!$D$4:$D$200,MATCH(E621,Товары!$B$4:$B$200,0)),0))</f>
        <v/>
      </c>
      <c r="H621" s="29"/>
      <c r="I621" s="32" t="str">
        <f aca="false">IF(OR(E621="",F621=""),"",F621*G621-N(H621))</f>
        <v/>
      </c>
      <c r="J621" s="29"/>
      <c r="K621" s="32" t="str">
        <f aca="false">IF(AND(I621="",N(J621)=0),"",N(I621)+N(J621))</f>
        <v/>
      </c>
      <c r="L621" s="32" t="str">
        <f aca="false">IF(OR(E621="",F621=""),"",F621*IFERROR(INDEX(Товары!$C$4:$C$200,MATCH(E621,Товары!$B$4:$B$200,0)),0))</f>
        <v/>
      </c>
      <c r="M621" s="32" t="str">
        <f aca="false">IF(I621="","",I621-L621)</f>
        <v/>
      </c>
      <c r="N621" s="28"/>
      <c r="O621" s="28"/>
      <c r="P621" s="28"/>
      <c r="Q621" s="28"/>
      <c r="R621" s="35"/>
      <c r="S621" s="28"/>
    </row>
    <row r="622" customFormat="false" ht="15" hidden="false" customHeight="false" outlineLevel="0" collapsed="false">
      <c r="A622" s="34" t="str">
        <f aca="false">IF(E622="","",ROW()-3)</f>
        <v/>
      </c>
      <c r="B622" s="35"/>
      <c r="C622" s="28"/>
      <c r="D622" s="28"/>
      <c r="E622" s="28"/>
      <c r="F622" s="28"/>
      <c r="G622" s="32" t="str">
        <f aca="false">IF(E622="","",IFERROR(INDEX(Товары!$D$4:$D$200,MATCH(E622,Товары!$B$4:$B$200,0)),0))</f>
        <v/>
      </c>
      <c r="H622" s="29"/>
      <c r="I622" s="32" t="str">
        <f aca="false">IF(OR(E622="",F622=""),"",F622*G622-N(H622))</f>
        <v/>
      </c>
      <c r="J622" s="29"/>
      <c r="K622" s="32" t="str">
        <f aca="false">IF(AND(I622="",N(J622)=0),"",N(I622)+N(J622))</f>
        <v/>
      </c>
      <c r="L622" s="32" t="str">
        <f aca="false">IF(OR(E622="",F622=""),"",F622*IFERROR(INDEX(Товары!$C$4:$C$200,MATCH(E622,Товары!$B$4:$B$200,0)),0))</f>
        <v/>
      </c>
      <c r="M622" s="32" t="str">
        <f aca="false">IF(I622="","",I622-L622)</f>
        <v/>
      </c>
      <c r="N622" s="28"/>
      <c r="O622" s="28"/>
      <c r="P622" s="28"/>
      <c r="Q622" s="28"/>
      <c r="R622" s="35"/>
      <c r="S622" s="28"/>
    </row>
    <row r="623" customFormat="false" ht="15" hidden="false" customHeight="false" outlineLevel="0" collapsed="false">
      <c r="A623" s="34" t="str">
        <f aca="false">IF(E623="","",ROW()-3)</f>
        <v/>
      </c>
      <c r="B623" s="35"/>
      <c r="C623" s="28"/>
      <c r="D623" s="28"/>
      <c r="E623" s="28"/>
      <c r="F623" s="28"/>
      <c r="G623" s="32" t="str">
        <f aca="false">IF(E623="","",IFERROR(INDEX(Товары!$D$4:$D$200,MATCH(E623,Товары!$B$4:$B$200,0)),0))</f>
        <v/>
      </c>
      <c r="H623" s="29"/>
      <c r="I623" s="32" t="str">
        <f aca="false">IF(OR(E623="",F623=""),"",F623*G623-N(H623))</f>
        <v/>
      </c>
      <c r="J623" s="29"/>
      <c r="K623" s="32" t="str">
        <f aca="false">IF(AND(I623="",N(J623)=0),"",N(I623)+N(J623))</f>
        <v/>
      </c>
      <c r="L623" s="32" t="str">
        <f aca="false">IF(OR(E623="",F623=""),"",F623*IFERROR(INDEX(Товары!$C$4:$C$200,MATCH(E623,Товары!$B$4:$B$200,0)),0))</f>
        <v/>
      </c>
      <c r="M623" s="32" t="str">
        <f aca="false">IF(I623="","",I623-L623)</f>
        <v/>
      </c>
      <c r="N623" s="28"/>
      <c r="O623" s="28"/>
      <c r="P623" s="28"/>
      <c r="Q623" s="28"/>
      <c r="R623" s="35"/>
      <c r="S623" s="28"/>
    </row>
    <row r="624" customFormat="false" ht="15" hidden="false" customHeight="false" outlineLevel="0" collapsed="false">
      <c r="A624" s="34" t="str">
        <f aca="false">IF(E624="","",ROW()-3)</f>
        <v/>
      </c>
      <c r="B624" s="35"/>
      <c r="C624" s="28"/>
      <c r="D624" s="28"/>
      <c r="E624" s="28"/>
      <c r="F624" s="28"/>
      <c r="G624" s="32" t="str">
        <f aca="false">IF(E624="","",IFERROR(INDEX(Товары!$D$4:$D$200,MATCH(E624,Товары!$B$4:$B$200,0)),0))</f>
        <v/>
      </c>
      <c r="H624" s="29"/>
      <c r="I624" s="32" t="str">
        <f aca="false">IF(OR(E624="",F624=""),"",F624*G624-N(H624))</f>
        <v/>
      </c>
      <c r="J624" s="29"/>
      <c r="K624" s="32" t="str">
        <f aca="false">IF(AND(I624="",N(J624)=0),"",N(I624)+N(J624))</f>
        <v/>
      </c>
      <c r="L624" s="32" t="str">
        <f aca="false">IF(OR(E624="",F624=""),"",F624*IFERROR(INDEX(Товары!$C$4:$C$200,MATCH(E624,Товары!$B$4:$B$200,0)),0))</f>
        <v/>
      </c>
      <c r="M624" s="32" t="str">
        <f aca="false">IF(I624="","",I624-L624)</f>
        <v/>
      </c>
      <c r="N624" s="28"/>
      <c r="O624" s="28"/>
      <c r="P624" s="28"/>
      <c r="Q624" s="28"/>
      <c r="R624" s="35"/>
      <c r="S624" s="28"/>
    </row>
    <row r="625" customFormat="false" ht="15" hidden="false" customHeight="false" outlineLevel="0" collapsed="false">
      <c r="A625" s="34" t="str">
        <f aca="false">IF(E625="","",ROW()-3)</f>
        <v/>
      </c>
      <c r="B625" s="35"/>
      <c r="C625" s="28"/>
      <c r="D625" s="28"/>
      <c r="E625" s="28"/>
      <c r="F625" s="28"/>
      <c r="G625" s="32" t="str">
        <f aca="false">IF(E625="","",IFERROR(INDEX(Товары!$D$4:$D$200,MATCH(E625,Товары!$B$4:$B$200,0)),0))</f>
        <v/>
      </c>
      <c r="H625" s="29"/>
      <c r="I625" s="32" t="str">
        <f aca="false">IF(OR(E625="",F625=""),"",F625*G625-N(H625))</f>
        <v/>
      </c>
      <c r="J625" s="29"/>
      <c r="K625" s="32" t="str">
        <f aca="false">IF(AND(I625="",N(J625)=0),"",N(I625)+N(J625))</f>
        <v/>
      </c>
      <c r="L625" s="32" t="str">
        <f aca="false">IF(OR(E625="",F625=""),"",F625*IFERROR(INDEX(Товары!$C$4:$C$200,MATCH(E625,Товары!$B$4:$B$200,0)),0))</f>
        <v/>
      </c>
      <c r="M625" s="32" t="str">
        <f aca="false">IF(I625="","",I625-L625)</f>
        <v/>
      </c>
      <c r="N625" s="28"/>
      <c r="O625" s="28"/>
      <c r="P625" s="28"/>
      <c r="Q625" s="28"/>
      <c r="R625" s="35"/>
      <c r="S625" s="28"/>
    </row>
    <row r="626" customFormat="false" ht="15" hidden="false" customHeight="false" outlineLevel="0" collapsed="false">
      <c r="A626" s="34" t="str">
        <f aca="false">IF(E626="","",ROW()-3)</f>
        <v/>
      </c>
      <c r="B626" s="35"/>
      <c r="C626" s="28"/>
      <c r="D626" s="28"/>
      <c r="E626" s="28"/>
      <c r="F626" s="28"/>
      <c r="G626" s="32" t="str">
        <f aca="false">IF(E626="","",IFERROR(INDEX(Товары!$D$4:$D$200,MATCH(E626,Товары!$B$4:$B$200,0)),0))</f>
        <v/>
      </c>
      <c r="H626" s="29"/>
      <c r="I626" s="32" t="str">
        <f aca="false">IF(OR(E626="",F626=""),"",F626*G626-N(H626))</f>
        <v/>
      </c>
      <c r="J626" s="29"/>
      <c r="K626" s="32" t="str">
        <f aca="false">IF(AND(I626="",N(J626)=0),"",N(I626)+N(J626))</f>
        <v/>
      </c>
      <c r="L626" s="32" t="str">
        <f aca="false">IF(OR(E626="",F626=""),"",F626*IFERROR(INDEX(Товары!$C$4:$C$200,MATCH(E626,Товары!$B$4:$B$200,0)),0))</f>
        <v/>
      </c>
      <c r="M626" s="32" t="str">
        <f aca="false">IF(I626="","",I626-L626)</f>
        <v/>
      </c>
      <c r="N626" s="28"/>
      <c r="O626" s="28"/>
      <c r="P626" s="28"/>
      <c r="Q626" s="28"/>
      <c r="R626" s="35"/>
      <c r="S626" s="28"/>
    </row>
    <row r="627" customFormat="false" ht="15" hidden="false" customHeight="false" outlineLevel="0" collapsed="false">
      <c r="A627" s="34" t="str">
        <f aca="false">IF(E627="","",ROW()-3)</f>
        <v/>
      </c>
      <c r="B627" s="35"/>
      <c r="C627" s="28"/>
      <c r="D627" s="28"/>
      <c r="E627" s="28"/>
      <c r="F627" s="28"/>
      <c r="G627" s="32" t="str">
        <f aca="false">IF(E627="","",IFERROR(INDEX(Товары!$D$4:$D$200,MATCH(E627,Товары!$B$4:$B$200,0)),0))</f>
        <v/>
      </c>
      <c r="H627" s="29"/>
      <c r="I627" s="32" t="str">
        <f aca="false">IF(OR(E627="",F627=""),"",F627*G627-N(H627))</f>
        <v/>
      </c>
      <c r="J627" s="29"/>
      <c r="K627" s="32" t="str">
        <f aca="false">IF(AND(I627="",N(J627)=0),"",N(I627)+N(J627))</f>
        <v/>
      </c>
      <c r="L627" s="32" t="str">
        <f aca="false">IF(OR(E627="",F627=""),"",F627*IFERROR(INDEX(Товары!$C$4:$C$200,MATCH(E627,Товары!$B$4:$B$200,0)),0))</f>
        <v/>
      </c>
      <c r="M627" s="32" t="str">
        <f aca="false">IF(I627="","",I627-L627)</f>
        <v/>
      </c>
      <c r="N627" s="28"/>
      <c r="O627" s="28"/>
      <c r="P627" s="28"/>
      <c r="Q627" s="28"/>
      <c r="R627" s="35"/>
      <c r="S627" s="28"/>
    </row>
    <row r="628" customFormat="false" ht="15" hidden="false" customHeight="false" outlineLevel="0" collapsed="false">
      <c r="A628" s="34" t="str">
        <f aca="false">IF(E628="","",ROW()-3)</f>
        <v/>
      </c>
      <c r="B628" s="35"/>
      <c r="C628" s="28"/>
      <c r="D628" s="28"/>
      <c r="E628" s="28"/>
      <c r="F628" s="28"/>
      <c r="G628" s="32" t="str">
        <f aca="false">IF(E628="","",IFERROR(INDEX(Товары!$D$4:$D$200,MATCH(E628,Товары!$B$4:$B$200,0)),0))</f>
        <v/>
      </c>
      <c r="H628" s="29"/>
      <c r="I628" s="32" t="str">
        <f aca="false">IF(OR(E628="",F628=""),"",F628*G628-N(H628))</f>
        <v/>
      </c>
      <c r="J628" s="29"/>
      <c r="K628" s="32" t="str">
        <f aca="false">IF(AND(I628="",N(J628)=0),"",N(I628)+N(J628))</f>
        <v/>
      </c>
      <c r="L628" s="32" t="str">
        <f aca="false">IF(OR(E628="",F628=""),"",F628*IFERROR(INDEX(Товары!$C$4:$C$200,MATCH(E628,Товары!$B$4:$B$200,0)),0))</f>
        <v/>
      </c>
      <c r="M628" s="32" t="str">
        <f aca="false">IF(I628="","",I628-L628)</f>
        <v/>
      </c>
      <c r="N628" s="28"/>
      <c r="O628" s="28"/>
      <c r="P628" s="28"/>
      <c r="Q628" s="28"/>
      <c r="R628" s="35"/>
      <c r="S628" s="28"/>
    </row>
    <row r="629" customFormat="false" ht="15" hidden="false" customHeight="false" outlineLevel="0" collapsed="false">
      <c r="A629" s="34" t="str">
        <f aca="false">IF(E629="","",ROW()-3)</f>
        <v/>
      </c>
      <c r="B629" s="35"/>
      <c r="C629" s="28"/>
      <c r="D629" s="28"/>
      <c r="E629" s="28"/>
      <c r="F629" s="28"/>
      <c r="G629" s="32" t="str">
        <f aca="false">IF(E629="","",IFERROR(INDEX(Товары!$D$4:$D$200,MATCH(E629,Товары!$B$4:$B$200,0)),0))</f>
        <v/>
      </c>
      <c r="H629" s="29"/>
      <c r="I629" s="32" t="str">
        <f aca="false">IF(OR(E629="",F629=""),"",F629*G629-N(H629))</f>
        <v/>
      </c>
      <c r="J629" s="29"/>
      <c r="K629" s="32" t="str">
        <f aca="false">IF(AND(I629="",N(J629)=0),"",N(I629)+N(J629))</f>
        <v/>
      </c>
      <c r="L629" s="32" t="str">
        <f aca="false">IF(OR(E629="",F629=""),"",F629*IFERROR(INDEX(Товары!$C$4:$C$200,MATCH(E629,Товары!$B$4:$B$200,0)),0))</f>
        <v/>
      </c>
      <c r="M629" s="32" t="str">
        <f aca="false">IF(I629="","",I629-L629)</f>
        <v/>
      </c>
      <c r="N629" s="28"/>
      <c r="O629" s="28"/>
      <c r="P629" s="28"/>
      <c r="Q629" s="28"/>
      <c r="R629" s="35"/>
      <c r="S629" s="28"/>
    </row>
    <row r="630" customFormat="false" ht="15" hidden="false" customHeight="false" outlineLevel="0" collapsed="false">
      <c r="A630" s="34" t="str">
        <f aca="false">IF(E630="","",ROW()-3)</f>
        <v/>
      </c>
      <c r="B630" s="35"/>
      <c r="C630" s="28"/>
      <c r="D630" s="28"/>
      <c r="E630" s="28"/>
      <c r="F630" s="28"/>
      <c r="G630" s="32" t="str">
        <f aca="false">IF(E630="","",IFERROR(INDEX(Товары!$D$4:$D$200,MATCH(E630,Товары!$B$4:$B$200,0)),0))</f>
        <v/>
      </c>
      <c r="H630" s="29"/>
      <c r="I630" s="32" t="str">
        <f aca="false">IF(OR(E630="",F630=""),"",F630*G630-N(H630))</f>
        <v/>
      </c>
      <c r="J630" s="29"/>
      <c r="K630" s="32" t="str">
        <f aca="false">IF(AND(I630="",N(J630)=0),"",N(I630)+N(J630))</f>
        <v/>
      </c>
      <c r="L630" s="32" t="str">
        <f aca="false">IF(OR(E630="",F630=""),"",F630*IFERROR(INDEX(Товары!$C$4:$C$200,MATCH(E630,Товары!$B$4:$B$200,0)),0))</f>
        <v/>
      </c>
      <c r="M630" s="32" t="str">
        <f aca="false">IF(I630="","",I630-L630)</f>
        <v/>
      </c>
      <c r="N630" s="28"/>
      <c r="O630" s="28"/>
      <c r="P630" s="28"/>
      <c r="Q630" s="28"/>
      <c r="R630" s="35"/>
      <c r="S630" s="28"/>
    </row>
    <row r="631" customFormat="false" ht="15" hidden="false" customHeight="false" outlineLevel="0" collapsed="false">
      <c r="A631" s="34" t="str">
        <f aca="false">IF(E631="","",ROW()-3)</f>
        <v/>
      </c>
      <c r="B631" s="35"/>
      <c r="C631" s="28"/>
      <c r="D631" s="28"/>
      <c r="E631" s="28"/>
      <c r="F631" s="28"/>
      <c r="G631" s="32" t="str">
        <f aca="false">IF(E631="","",IFERROR(INDEX(Товары!$D$4:$D$200,MATCH(E631,Товары!$B$4:$B$200,0)),0))</f>
        <v/>
      </c>
      <c r="H631" s="29"/>
      <c r="I631" s="32" t="str">
        <f aca="false">IF(OR(E631="",F631=""),"",F631*G631-N(H631))</f>
        <v/>
      </c>
      <c r="J631" s="29"/>
      <c r="K631" s="32" t="str">
        <f aca="false">IF(AND(I631="",N(J631)=0),"",N(I631)+N(J631))</f>
        <v/>
      </c>
      <c r="L631" s="32" t="str">
        <f aca="false">IF(OR(E631="",F631=""),"",F631*IFERROR(INDEX(Товары!$C$4:$C$200,MATCH(E631,Товары!$B$4:$B$200,0)),0))</f>
        <v/>
      </c>
      <c r="M631" s="32" t="str">
        <f aca="false">IF(I631="","",I631-L631)</f>
        <v/>
      </c>
      <c r="N631" s="28"/>
      <c r="O631" s="28"/>
      <c r="P631" s="28"/>
      <c r="Q631" s="28"/>
      <c r="R631" s="35"/>
      <c r="S631" s="28"/>
    </row>
    <row r="632" customFormat="false" ht="15" hidden="false" customHeight="false" outlineLevel="0" collapsed="false">
      <c r="A632" s="34" t="str">
        <f aca="false">IF(E632="","",ROW()-3)</f>
        <v/>
      </c>
      <c r="B632" s="35"/>
      <c r="C632" s="28"/>
      <c r="D632" s="28"/>
      <c r="E632" s="28"/>
      <c r="F632" s="28"/>
      <c r="G632" s="32" t="str">
        <f aca="false">IF(E632="","",IFERROR(INDEX(Товары!$D$4:$D$200,MATCH(E632,Товары!$B$4:$B$200,0)),0))</f>
        <v/>
      </c>
      <c r="H632" s="29"/>
      <c r="I632" s="32" t="str">
        <f aca="false">IF(OR(E632="",F632=""),"",F632*G632-N(H632))</f>
        <v/>
      </c>
      <c r="J632" s="29"/>
      <c r="K632" s="32" t="str">
        <f aca="false">IF(AND(I632="",N(J632)=0),"",N(I632)+N(J632))</f>
        <v/>
      </c>
      <c r="L632" s="32" t="str">
        <f aca="false">IF(OR(E632="",F632=""),"",F632*IFERROR(INDEX(Товары!$C$4:$C$200,MATCH(E632,Товары!$B$4:$B$200,0)),0))</f>
        <v/>
      </c>
      <c r="M632" s="32" t="str">
        <f aca="false">IF(I632="","",I632-L632)</f>
        <v/>
      </c>
      <c r="N632" s="28"/>
      <c r="O632" s="28"/>
      <c r="P632" s="28"/>
      <c r="Q632" s="28"/>
      <c r="R632" s="35"/>
      <c r="S632" s="28"/>
    </row>
    <row r="633" customFormat="false" ht="15" hidden="false" customHeight="false" outlineLevel="0" collapsed="false">
      <c r="A633" s="34" t="str">
        <f aca="false">IF(E633="","",ROW()-3)</f>
        <v/>
      </c>
      <c r="B633" s="35"/>
      <c r="C633" s="28"/>
      <c r="D633" s="28"/>
      <c r="E633" s="28"/>
      <c r="F633" s="28"/>
      <c r="G633" s="32" t="str">
        <f aca="false">IF(E633="","",IFERROR(INDEX(Товары!$D$4:$D$200,MATCH(E633,Товары!$B$4:$B$200,0)),0))</f>
        <v/>
      </c>
      <c r="H633" s="29"/>
      <c r="I633" s="32" t="str">
        <f aca="false">IF(OR(E633="",F633=""),"",F633*G633-N(H633))</f>
        <v/>
      </c>
      <c r="J633" s="29"/>
      <c r="K633" s="32" t="str">
        <f aca="false">IF(AND(I633="",N(J633)=0),"",N(I633)+N(J633))</f>
        <v/>
      </c>
      <c r="L633" s="32" t="str">
        <f aca="false">IF(OR(E633="",F633=""),"",F633*IFERROR(INDEX(Товары!$C$4:$C$200,MATCH(E633,Товары!$B$4:$B$200,0)),0))</f>
        <v/>
      </c>
      <c r="M633" s="32" t="str">
        <f aca="false">IF(I633="","",I633-L633)</f>
        <v/>
      </c>
      <c r="N633" s="28"/>
      <c r="O633" s="28"/>
      <c r="P633" s="28"/>
      <c r="Q633" s="28"/>
      <c r="R633" s="35"/>
      <c r="S633" s="28"/>
    </row>
    <row r="634" customFormat="false" ht="15" hidden="false" customHeight="false" outlineLevel="0" collapsed="false">
      <c r="A634" s="34" t="str">
        <f aca="false">IF(E634="","",ROW()-3)</f>
        <v/>
      </c>
      <c r="B634" s="35"/>
      <c r="C634" s="28"/>
      <c r="D634" s="28"/>
      <c r="E634" s="28"/>
      <c r="F634" s="28"/>
      <c r="G634" s="32" t="str">
        <f aca="false">IF(E634="","",IFERROR(INDEX(Товары!$D$4:$D$200,MATCH(E634,Товары!$B$4:$B$200,0)),0))</f>
        <v/>
      </c>
      <c r="H634" s="29"/>
      <c r="I634" s="32" t="str">
        <f aca="false">IF(OR(E634="",F634=""),"",F634*G634-N(H634))</f>
        <v/>
      </c>
      <c r="J634" s="29"/>
      <c r="K634" s="32" t="str">
        <f aca="false">IF(AND(I634="",N(J634)=0),"",N(I634)+N(J634))</f>
        <v/>
      </c>
      <c r="L634" s="32" t="str">
        <f aca="false">IF(OR(E634="",F634=""),"",F634*IFERROR(INDEX(Товары!$C$4:$C$200,MATCH(E634,Товары!$B$4:$B$200,0)),0))</f>
        <v/>
      </c>
      <c r="M634" s="32" t="str">
        <f aca="false">IF(I634="","",I634-L634)</f>
        <v/>
      </c>
      <c r="N634" s="28"/>
      <c r="O634" s="28"/>
      <c r="P634" s="28"/>
      <c r="Q634" s="28"/>
      <c r="R634" s="35"/>
      <c r="S634" s="28"/>
    </row>
    <row r="635" customFormat="false" ht="15" hidden="false" customHeight="false" outlineLevel="0" collapsed="false">
      <c r="A635" s="34" t="str">
        <f aca="false">IF(E635="","",ROW()-3)</f>
        <v/>
      </c>
      <c r="B635" s="35"/>
      <c r="C635" s="28"/>
      <c r="D635" s="28"/>
      <c r="E635" s="28"/>
      <c r="F635" s="28"/>
      <c r="G635" s="32" t="str">
        <f aca="false">IF(E635="","",IFERROR(INDEX(Товары!$D$4:$D$200,MATCH(E635,Товары!$B$4:$B$200,0)),0))</f>
        <v/>
      </c>
      <c r="H635" s="29"/>
      <c r="I635" s="32" t="str">
        <f aca="false">IF(OR(E635="",F635=""),"",F635*G635-N(H635))</f>
        <v/>
      </c>
      <c r="J635" s="29"/>
      <c r="K635" s="32" t="str">
        <f aca="false">IF(AND(I635="",N(J635)=0),"",N(I635)+N(J635))</f>
        <v/>
      </c>
      <c r="L635" s="32" t="str">
        <f aca="false">IF(OR(E635="",F635=""),"",F635*IFERROR(INDEX(Товары!$C$4:$C$200,MATCH(E635,Товары!$B$4:$B$200,0)),0))</f>
        <v/>
      </c>
      <c r="M635" s="32" t="str">
        <f aca="false">IF(I635="","",I635-L635)</f>
        <v/>
      </c>
      <c r="N635" s="28"/>
      <c r="O635" s="28"/>
      <c r="P635" s="28"/>
      <c r="Q635" s="28"/>
      <c r="R635" s="35"/>
      <c r="S635" s="28"/>
    </row>
    <row r="636" customFormat="false" ht="15" hidden="false" customHeight="false" outlineLevel="0" collapsed="false">
      <c r="A636" s="34" t="str">
        <f aca="false">IF(E636="","",ROW()-3)</f>
        <v/>
      </c>
      <c r="B636" s="35"/>
      <c r="C636" s="28"/>
      <c r="D636" s="28"/>
      <c r="E636" s="28"/>
      <c r="F636" s="28"/>
      <c r="G636" s="32" t="str">
        <f aca="false">IF(E636="","",IFERROR(INDEX(Товары!$D$4:$D$200,MATCH(E636,Товары!$B$4:$B$200,0)),0))</f>
        <v/>
      </c>
      <c r="H636" s="29"/>
      <c r="I636" s="32" t="str">
        <f aca="false">IF(OR(E636="",F636=""),"",F636*G636-N(H636))</f>
        <v/>
      </c>
      <c r="J636" s="29"/>
      <c r="K636" s="32" t="str">
        <f aca="false">IF(AND(I636="",N(J636)=0),"",N(I636)+N(J636))</f>
        <v/>
      </c>
      <c r="L636" s="32" t="str">
        <f aca="false">IF(OR(E636="",F636=""),"",F636*IFERROR(INDEX(Товары!$C$4:$C$200,MATCH(E636,Товары!$B$4:$B$200,0)),0))</f>
        <v/>
      </c>
      <c r="M636" s="32" t="str">
        <f aca="false">IF(I636="","",I636-L636)</f>
        <v/>
      </c>
      <c r="N636" s="28"/>
      <c r="O636" s="28"/>
      <c r="P636" s="28"/>
      <c r="Q636" s="28"/>
      <c r="R636" s="35"/>
      <c r="S636" s="28"/>
    </row>
    <row r="637" customFormat="false" ht="15" hidden="false" customHeight="false" outlineLevel="0" collapsed="false">
      <c r="A637" s="34" t="str">
        <f aca="false">IF(E637="","",ROW()-3)</f>
        <v/>
      </c>
      <c r="B637" s="35"/>
      <c r="C637" s="28"/>
      <c r="D637" s="28"/>
      <c r="E637" s="28"/>
      <c r="F637" s="28"/>
      <c r="G637" s="32" t="str">
        <f aca="false">IF(E637="","",IFERROR(INDEX(Товары!$D$4:$D$200,MATCH(E637,Товары!$B$4:$B$200,0)),0))</f>
        <v/>
      </c>
      <c r="H637" s="29"/>
      <c r="I637" s="32" t="str">
        <f aca="false">IF(OR(E637="",F637=""),"",F637*G637-N(H637))</f>
        <v/>
      </c>
      <c r="J637" s="29"/>
      <c r="K637" s="32" t="str">
        <f aca="false">IF(AND(I637="",N(J637)=0),"",N(I637)+N(J637))</f>
        <v/>
      </c>
      <c r="L637" s="32" t="str">
        <f aca="false">IF(OR(E637="",F637=""),"",F637*IFERROR(INDEX(Товары!$C$4:$C$200,MATCH(E637,Товары!$B$4:$B$200,0)),0))</f>
        <v/>
      </c>
      <c r="M637" s="32" t="str">
        <f aca="false">IF(I637="","",I637-L637)</f>
        <v/>
      </c>
      <c r="N637" s="28"/>
      <c r="O637" s="28"/>
      <c r="P637" s="28"/>
      <c r="Q637" s="28"/>
      <c r="R637" s="35"/>
      <c r="S637" s="28"/>
    </row>
    <row r="638" customFormat="false" ht="15" hidden="false" customHeight="false" outlineLevel="0" collapsed="false">
      <c r="A638" s="34" t="str">
        <f aca="false">IF(E638="","",ROW()-3)</f>
        <v/>
      </c>
      <c r="B638" s="35"/>
      <c r="C638" s="28"/>
      <c r="D638" s="28"/>
      <c r="E638" s="28"/>
      <c r="F638" s="28"/>
      <c r="G638" s="32" t="str">
        <f aca="false">IF(E638="","",IFERROR(INDEX(Товары!$D$4:$D$200,MATCH(E638,Товары!$B$4:$B$200,0)),0))</f>
        <v/>
      </c>
      <c r="H638" s="29"/>
      <c r="I638" s="32" t="str">
        <f aca="false">IF(OR(E638="",F638=""),"",F638*G638-N(H638))</f>
        <v/>
      </c>
      <c r="J638" s="29"/>
      <c r="K638" s="32" t="str">
        <f aca="false">IF(AND(I638="",N(J638)=0),"",N(I638)+N(J638))</f>
        <v/>
      </c>
      <c r="L638" s="32" t="str">
        <f aca="false">IF(OR(E638="",F638=""),"",F638*IFERROR(INDEX(Товары!$C$4:$C$200,MATCH(E638,Товары!$B$4:$B$200,0)),0))</f>
        <v/>
      </c>
      <c r="M638" s="32" t="str">
        <f aca="false">IF(I638="","",I638-L638)</f>
        <v/>
      </c>
      <c r="N638" s="28"/>
      <c r="O638" s="28"/>
      <c r="P638" s="28"/>
      <c r="Q638" s="28"/>
      <c r="R638" s="35"/>
      <c r="S638" s="28"/>
    </row>
    <row r="639" customFormat="false" ht="15" hidden="false" customHeight="false" outlineLevel="0" collapsed="false">
      <c r="A639" s="34" t="str">
        <f aca="false">IF(E639="","",ROW()-3)</f>
        <v/>
      </c>
      <c r="B639" s="35"/>
      <c r="C639" s="28"/>
      <c r="D639" s="28"/>
      <c r="E639" s="28"/>
      <c r="F639" s="28"/>
      <c r="G639" s="32" t="str">
        <f aca="false">IF(E639="","",IFERROR(INDEX(Товары!$D$4:$D$200,MATCH(E639,Товары!$B$4:$B$200,0)),0))</f>
        <v/>
      </c>
      <c r="H639" s="29"/>
      <c r="I639" s="32" t="str">
        <f aca="false">IF(OR(E639="",F639=""),"",F639*G639-N(H639))</f>
        <v/>
      </c>
      <c r="J639" s="29"/>
      <c r="K639" s="32" t="str">
        <f aca="false">IF(AND(I639="",N(J639)=0),"",N(I639)+N(J639))</f>
        <v/>
      </c>
      <c r="L639" s="32" t="str">
        <f aca="false">IF(OR(E639="",F639=""),"",F639*IFERROR(INDEX(Товары!$C$4:$C$200,MATCH(E639,Товары!$B$4:$B$200,0)),0))</f>
        <v/>
      </c>
      <c r="M639" s="32" t="str">
        <f aca="false">IF(I639="","",I639-L639)</f>
        <v/>
      </c>
      <c r="N639" s="28"/>
      <c r="O639" s="28"/>
      <c r="P639" s="28"/>
      <c r="Q639" s="28"/>
      <c r="R639" s="35"/>
      <c r="S639" s="28"/>
    </row>
    <row r="640" customFormat="false" ht="15" hidden="false" customHeight="false" outlineLevel="0" collapsed="false">
      <c r="A640" s="34" t="str">
        <f aca="false">IF(E640="","",ROW()-3)</f>
        <v/>
      </c>
      <c r="B640" s="35"/>
      <c r="C640" s="28"/>
      <c r="D640" s="28"/>
      <c r="E640" s="28"/>
      <c r="F640" s="28"/>
      <c r="G640" s="32" t="str">
        <f aca="false">IF(E640="","",IFERROR(INDEX(Товары!$D$4:$D$200,MATCH(E640,Товары!$B$4:$B$200,0)),0))</f>
        <v/>
      </c>
      <c r="H640" s="29"/>
      <c r="I640" s="32" t="str">
        <f aca="false">IF(OR(E640="",F640=""),"",F640*G640-N(H640))</f>
        <v/>
      </c>
      <c r="J640" s="29"/>
      <c r="K640" s="32" t="str">
        <f aca="false">IF(AND(I640="",N(J640)=0),"",N(I640)+N(J640))</f>
        <v/>
      </c>
      <c r="L640" s="32" t="str">
        <f aca="false">IF(OR(E640="",F640=""),"",F640*IFERROR(INDEX(Товары!$C$4:$C$200,MATCH(E640,Товары!$B$4:$B$200,0)),0))</f>
        <v/>
      </c>
      <c r="M640" s="32" t="str">
        <f aca="false">IF(I640="","",I640-L640)</f>
        <v/>
      </c>
      <c r="N640" s="28"/>
      <c r="O640" s="28"/>
      <c r="P640" s="28"/>
      <c r="Q640" s="28"/>
      <c r="R640" s="35"/>
      <c r="S640" s="28"/>
    </row>
    <row r="641" customFormat="false" ht="15" hidden="false" customHeight="false" outlineLevel="0" collapsed="false">
      <c r="A641" s="34" t="str">
        <f aca="false">IF(E641="","",ROW()-3)</f>
        <v/>
      </c>
      <c r="B641" s="35"/>
      <c r="C641" s="28"/>
      <c r="D641" s="28"/>
      <c r="E641" s="28"/>
      <c r="F641" s="28"/>
      <c r="G641" s="32" t="str">
        <f aca="false">IF(E641="","",IFERROR(INDEX(Товары!$D$4:$D$200,MATCH(E641,Товары!$B$4:$B$200,0)),0))</f>
        <v/>
      </c>
      <c r="H641" s="29"/>
      <c r="I641" s="32" t="str">
        <f aca="false">IF(OR(E641="",F641=""),"",F641*G641-N(H641))</f>
        <v/>
      </c>
      <c r="J641" s="29"/>
      <c r="K641" s="32" t="str">
        <f aca="false">IF(AND(I641="",N(J641)=0),"",N(I641)+N(J641))</f>
        <v/>
      </c>
      <c r="L641" s="32" t="str">
        <f aca="false">IF(OR(E641="",F641=""),"",F641*IFERROR(INDEX(Товары!$C$4:$C$200,MATCH(E641,Товары!$B$4:$B$200,0)),0))</f>
        <v/>
      </c>
      <c r="M641" s="32" t="str">
        <f aca="false">IF(I641="","",I641-L641)</f>
        <v/>
      </c>
      <c r="N641" s="28"/>
      <c r="O641" s="28"/>
      <c r="P641" s="28"/>
      <c r="Q641" s="28"/>
      <c r="R641" s="35"/>
      <c r="S641" s="28"/>
    </row>
    <row r="642" customFormat="false" ht="15" hidden="false" customHeight="false" outlineLevel="0" collapsed="false">
      <c r="A642" s="34" t="str">
        <f aca="false">IF(E642="","",ROW()-3)</f>
        <v/>
      </c>
      <c r="B642" s="35"/>
      <c r="C642" s="28"/>
      <c r="D642" s="28"/>
      <c r="E642" s="28"/>
      <c r="F642" s="28"/>
      <c r="G642" s="32" t="str">
        <f aca="false">IF(E642="","",IFERROR(INDEX(Товары!$D$4:$D$200,MATCH(E642,Товары!$B$4:$B$200,0)),0))</f>
        <v/>
      </c>
      <c r="H642" s="29"/>
      <c r="I642" s="32" t="str">
        <f aca="false">IF(OR(E642="",F642=""),"",F642*G642-N(H642))</f>
        <v/>
      </c>
      <c r="J642" s="29"/>
      <c r="K642" s="32" t="str">
        <f aca="false">IF(AND(I642="",N(J642)=0),"",N(I642)+N(J642))</f>
        <v/>
      </c>
      <c r="L642" s="32" t="str">
        <f aca="false">IF(OR(E642="",F642=""),"",F642*IFERROR(INDEX(Товары!$C$4:$C$200,MATCH(E642,Товары!$B$4:$B$200,0)),0))</f>
        <v/>
      </c>
      <c r="M642" s="32" t="str">
        <f aca="false">IF(I642="","",I642-L642)</f>
        <v/>
      </c>
      <c r="N642" s="28"/>
      <c r="O642" s="28"/>
      <c r="P642" s="28"/>
      <c r="Q642" s="28"/>
      <c r="R642" s="35"/>
      <c r="S642" s="28"/>
    </row>
    <row r="643" customFormat="false" ht="15" hidden="false" customHeight="false" outlineLevel="0" collapsed="false">
      <c r="A643" s="34" t="str">
        <f aca="false">IF(E643="","",ROW()-3)</f>
        <v/>
      </c>
      <c r="B643" s="35"/>
      <c r="C643" s="28"/>
      <c r="D643" s="28"/>
      <c r="E643" s="28"/>
      <c r="F643" s="28"/>
      <c r="G643" s="32" t="str">
        <f aca="false">IF(E643="","",IFERROR(INDEX(Товары!$D$4:$D$200,MATCH(E643,Товары!$B$4:$B$200,0)),0))</f>
        <v/>
      </c>
      <c r="H643" s="29"/>
      <c r="I643" s="32" t="str">
        <f aca="false">IF(OR(E643="",F643=""),"",F643*G643-N(H643))</f>
        <v/>
      </c>
      <c r="J643" s="29"/>
      <c r="K643" s="32" t="str">
        <f aca="false">IF(AND(I643="",N(J643)=0),"",N(I643)+N(J643))</f>
        <v/>
      </c>
      <c r="L643" s="32" t="str">
        <f aca="false">IF(OR(E643="",F643=""),"",F643*IFERROR(INDEX(Товары!$C$4:$C$200,MATCH(E643,Товары!$B$4:$B$200,0)),0))</f>
        <v/>
      </c>
      <c r="M643" s="32" t="str">
        <f aca="false">IF(I643="","",I643-L643)</f>
        <v/>
      </c>
      <c r="N643" s="28"/>
      <c r="O643" s="28"/>
      <c r="P643" s="28"/>
      <c r="Q643" s="28"/>
      <c r="R643" s="35"/>
      <c r="S643" s="28"/>
    </row>
    <row r="644" customFormat="false" ht="15" hidden="false" customHeight="false" outlineLevel="0" collapsed="false">
      <c r="A644" s="34" t="str">
        <f aca="false">IF(E644="","",ROW()-3)</f>
        <v/>
      </c>
      <c r="B644" s="35"/>
      <c r="C644" s="28"/>
      <c r="D644" s="28"/>
      <c r="E644" s="28"/>
      <c r="F644" s="28"/>
      <c r="G644" s="32" t="str">
        <f aca="false">IF(E644="","",IFERROR(INDEX(Товары!$D$4:$D$200,MATCH(E644,Товары!$B$4:$B$200,0)),0))</f>
        <v/>
      </c>
      <c r="H644" s="29"/>
      <c r="I644" s="32" t="str">
        <f aca="false">IF(OR(E644="",F644=""),"",F644*G644-N(H644))</f>
        <v/>
      </c>
      <c r="J644" s="29"/>
      <c r="K644" s="32" t="str">
        <f aca="false">IF(AND(I644="",N(J644)=0),"",N(I644)+N(J644))</f>
        <v/>
      </c>
      <c r="L644" s="32" t="str">
        <f aca="false">IF(OR(E644="",F644=""),"",F644*IFERROR(INDEX(Товары!$C$4:$C$200,MATCH(E644,Товары!$B$4:$B$200,0)),0))</f>
        <v/>
      </c>
      <c r="M644" s="32" t="str">
        <f aca="false">IF(I644="","",I644-L644)</f>
        <v/>
      </c>
      <c r="N644" s="28"/>
      <c r="O644" s="28"/>
      <c r="P644" s="28"/>
      <c r="Q644" s="28"/>
      <c r="R644" s="35"/>
      <c r="S644" s="28"/>
    </row>
    <row r="645" customFormat="false" ht="15" hidden="false" customHeight="false" outlineLevel="0" collapsed="false">
      <c r="A645" s="34" t="str">
        <f aca="false">IF(E645="","",ROW()-3)</f>
        <v/>
      </c>
      <c r="B645" s="35"/>
      <c r="C645" s="28"/>
      <c r="D645" s="28"/>
      <c r="E645" s="28"/>
      <c r="F645" s="28"/>
      <c r="G645" s="32" t="str">
        <f aca="false">IF(E645="","",IFERROR(INDEX(Товары!$D$4:$D$200,MATCH(E645,Товары!$B$4:$B$200,0)),0))</f>
        <v/>
      </c>
      <c r="H645" s="29"/>
      <c r="I645" s="32" t="str">
        <f aca="false">IF(OR(E645="",F645=""),"",F645*G645-N(H645))</f>
        <v/>
      </c>
      <c r="J645" s="29"/>
      <c r="K645" s="32" t="str">
        <f aca="false">IF(AND(I645="",N(J645)=0),"",N(I645)+N(J645))</f>
        <v/>
      </c>
      <c r="L645" s="32" t="str">
        <f aca="false">IF(OR(E645="",F645=""),"",F645*IFERROR(INDEX(Товары!$C$4:$C$200,MATCH(E645,Товары!$B$4:$B$200,0)),0))</f>
        <v/>
      </c>
      <c r="M645" s="32" t="str">
        <f aca="false">IF(I645="","",I645-L645)</f>
        <v/>
      </c>
      <c r="N645" s="28"/>
      <c r="O645" s="28"/>
      <c r="P645" s="28"/>
      <c r="Q645" s="28"/>
      <c r="R645" s="35"/>
      <c r="S645" s="28"/>
    </row>
    <row r="646" customFormat="false" ht="15" hidden="false" customHeight="false" outlineLevel="0" collapsed="false">
      <c r="A646" s="34" t="str">
        <f aca="false">IF(E646="","",ROW()-3)</f>
        <v/>
      </c>
      <c r="B646" s="35"/>
      <c r="C646" s="28"/>
      <c r="D646" s="28"/>
      <c r="E646" s="28"/>
      <c r="F646" s="28"/>
      <c r="G646" s="32" t="str">
        <f aca="false">IF(E646="","",IFERROR(INDEX(Товары!$D$4:$D$200,MATCH(E646,Товары!$B$4:$B$200,0)),0))</f>
        <v/>
      </c>
      <c r="H646" s="29"/>
      <c r="I646" s="32" t="str">
        <f aca="false">IF(OR(E646="",F646=""),"",F646*G646-N(H646))</f>
        <v/>
      </c>
      <c r="J646" s="29"/>
      <c r="K646" s="32" t="str">
        <f aca="false">IF(AND(I646="",N(J646)=0),"",N(I646)+N(J646))</f>
        <v/>
      </c>
      <c r="L646" s="32" t="str">
        <f aca="false">IF(OR(E646="",F646=""),"",F646*IFERROR(INDEX(Товары!$C$4:$C$200,MATCH(E646,Товары!$B$4:$B$200,0)),0))</f>
        <v/>
      </c>
      <c r="M646" s="32" t="str">
        <f aca="false">IF(I646="","",I646-L646)</f>
        <v/>
      </c>
      <c r="N646" s="28"/>
      <c r="O646" s="28"/>
      <c r="P646" s="28"/>
      <c r="Q646" s="28"/>
      <c r="R646" s="35"/>
      <c r="S646" s="28"/>
    </row>
    <row r="647" customFormat="false" ht="15" hidden="false" customHeight="false" outlineLevel="0" collapsed="false">
      <c r="A647" s="34" t="str">
        <f aca="false">IF(E647="","",ROW()-3)</f>
        <v/>
      </c>
      <c r="B647" s="35"/>
      <c r="C647" s="28"/>
      <c r="D647" s="28"/>
      <c r="E647" s="28"/>
      <c r="F647" s="28"/>
      <c r="G647" s="32" t="str">
        <f aca="false">IF(E647="","",IFERROR(INDEX(Товары!$D$4:$D$200,MATCH(E647,Товары!$B$4:$B$200,0)),0))</f>
        <v/>
      </c>
      <c r="H647" s="29"/>
      <c r="I647" s="32" t="str">
        <f aca="false">IF(OR(E647="",F647=""),"",F647*G647-N(H647))</f>
        <v/>
      </c>
      <c r="J647" s="29"/>
      <c r="K647" s="32" t="str">
        <f aca="false">IF(AND(I647="",N(J647)=0),"",N(I647)+N(J647))</f>
        <v/>
      </c>
      <c r="L647" s="32" t="str">
        <f aca="false">IF(OR(E647="",F647=""),"",F647*IFERROR(INDEX(Товары!$C$4:$C$200,MATCH(E647,Товары!$B$4:$B$200,0)),0))</f>
        <v/>
      </c>
      <c r="M647" s="32" t="str">
        <f aca="false">IF(I647="","",I647-L647)</f>
        <v/>
      </c>
      <c r="N647" s="28"/>
      <c r="O647" s="28"/>
      <c r="P647" s="28"/>
      <c r="Q647" s="28"/>
      <c r="R647" s="35"/>
      <c r="S647" s="28"/>
    </row>
    <row r="648" customFormat="false" ht="15" hidden="false" customHeight="false" outlineLevel="0" collapsed="false">
      <c r="A648" s="34" t="str">
        <f aca="false">IF(E648="","",ROW()-3)</f>
        <v/>
      </c>
      <c r="B648" s="35"/>
      <c r="C648" s="28"/>
      <c r="D648" s="28"/>
      <c r="E648" s="28"/>
      <c r="F648" s="28"/>
      <c r="G648" s="32" t="str">
        <f aca="false">IF(E648="","",IFERROR(INDEX(Товары!$D$4:$D$200,MATCH(E648,Товары!$B$4:$B$200,0)),0))</f>
        <v/>
      </c>
      <c r="H648" s="29"/>
      <c r="I648" s="32" t="str">
        <f aca="false">IF(OR(E648="",F648=""),"",F648*G648-N(H648))</f>
        <v/>
      </c>
      <c r="J648" s="29"/>
      <c r="K648" s="32" t="str">
        <f aca="false">IF(AND(I648="",N(J648)=0),"",N(I648)+N(J648))</f>
        <v/>
      </c>
      <c r="L648" s="32" t="str">
        <f aca="false">IF(OR(E648="",F648=""),"",F648*IFERROR(INDEX(Товары!$C$4:$C$200,MATCH(E648,Товары!$B$4:$B$200,0)),0))</f>
        <v/>
      </c>
      <c r="M648" s="32" t="str">
        <f aca="false">IF(I648="","",I648-L648)</f>
        <v/>
      </c>
      <c r="N648" s="28"/>
      <c r="O648" s="28"/>
      <c r="P648" s="28"/>
      <c r="Q648" s="28"/>
      <c r="R648" s="35"/>
      <c r="S648" s="28"/>
    </row>
    <row r="649" customFormat="false" ht="15" hidden="false" customHeight="false" outlineLevel="0" collapsed="false">
      <c r="A649" s="34" t="str">
        <f aca="false">IF(E649="","",ROW()-3)</f>
        <v/>
      </c>
      <c r="B649" s="35"/>
      <c r="C649" s="28"/>
      <c r="D649" s="28"/>
      <c r="E649" s="28"/>
      <c r="F649" s="28"/>
      <c r="G649" s="32" t="str">
        <f aca="false">IF(E649="","",IFERROR(INDEX(Товары!$D$4:$D$200,MATCH(E649,Товары!$B$4:$B$200,0)),0))</f>
        <v/>
      </c>
      <c r="H649" s="29"/>
      <c r="I649" s="32" t="str">
        <f aca="false">IF(OR(E649="",F649=""),"",F649*G649-N(H649))</f>
        <v/>
      </c>
      <c r="J649" s="29"/>
      <c r="K649" s="32" t="str">
        <f aca="false">IF(AND(I649="",N(J649)=0),"",N(I649)+N(J649))</f>
        <v/>
      </c>
      <c r="L649" s="32" t="str">
        <f aca="false">IF(OR(E649="",F649=""),"",F649*IFERROR(INDEX(Товары!$C$4:$C$200,MATCH(E649,Товары!$B$4:$B$200,0)),0))</f>
        <v/>
      </c>
      <c r="M649" s="32" t="str">
        <f aca="false">IF(I649="","",I649-L649)</f>
        <v/>
      </c>
      <c r="N649" s="28"/>
      <c r="O649" s="28"/>
      <c r="P649" s="28"/>
      <c r="Q649" s="28"/>
      <c r="R649" s="35"/>
      <c r="S649" s="28"/>
    </row>
    <row r="650" customFormat="false" ht="15" hidden="false" customHeight="false" outlineLevel="0" collapsed="false">
      <c r="A650" s="34" t="str">
        <f aca="false">IF(E650="","",ROW()-3)</f>
        <v/>
      </c>
      <c r="B650" s="35"/>
      <c r="C650" s="28"/>
      <c r="D650" s="28"/>
      <c r="E650" s="28"/>
      <c r="F650" s="28"/>
      <c r="G650" s="32" t="str">
        <f aca="false">IF(E650="","",IFERROR(INDEX(Товары!$D$4:$D$200,MATCH(E650,Товары!$B$4:$B$200,0)),0))</f>
        <v/>
      </c>
      <c r="H650" s="29"/>
      <c r="I650" s="32" t="str">
        <f aca="false">IF(OR(E650="",F650=""),"",F650*G650-N(H650))</f>
        <v/>
      </c>
      <c r="J650" s="29"/>
      <c r="K650" s="32" t="str">
        <f aca="false">IF(AND(I650="",N(J650)=0),"",N(I650)+N(J650))</f>
        <v/>
      </c>
      <c r="L650" s="32" t="str">
        <f aca="false">IF(OR(E650="",F650=""),"",F650*IFERROR(INDEX(Товары!$C$4:$C$200,MATCH(E650,Товары!$B$4:$B$200,0)),0))</f>
        <v/>
      </c>
      <c r="M650" s="32" t="str">
        <f aca="false">IF(I650="","",I650-L650)</f>
        <v/>
      </c>
      <c r="N650" s="28"/>
      <c r="O650" s="28"/>
      <c r="P650" s="28"/>
      <c r="Q650" s="28"/>
      <c r="R650" s="35"/>
      <c r="S650" s="28"/>
    </row>
    <row r="651" customFormat="false" ht="15" hidden="false" customHeight="false" outlineLevel="0" collapsed="false">
      <c r="A651" s="34" t="str">
        <f aca="false">IF(E651="","",ROW()-3)</f>
        <v/>
      </c>
      <c r="B651" s="35"/>
      <c r="C651" s="28"/>
      <c r="D651" s="28"/>
      <c r="E651" s="28"/>
      <c r="F651" s="28"/>
      <c r="G651" s="32" t="str">
        <f aca="false">IF(E651="","",IFERROR(INDEX(Товары!$D$4:$D$200,MATCH(E651,Товары!$B$4:$B$200,0)),0))</f>
        <v/>
      </c>
      <c r="H651" s="29"/>
      <c r="I651" s="32" t="str">
        <f aca="false">IF(OR(E651="",F651=""),"",F651*G651-N(H651))</f>
        <v/>
      </c>
      <c r="J651" s="29"/>
      <c r="K651" s="32" t="str">
        <f aca="false">IF(AND(I651="",N(J651)=0),"",N(I651)+N(J651))</f>
        <v/>
      </c>
      <c r="L651" s="32" t="str">
        <f aca="false">IF(OR(E651="",F651=""),"",F651*IFERROR(INDEX(Товары!$C$4:$C$200,MATCH(E651,Товары!$B$4:$B$200,0)),0))</f>
        <v/>
      </c>
      <c r="M651" s="32" t="str">
        <f aca="false">IF(I651="","",I651-L651)</f>
        <v/>
      </c>
      <c r="N651" s="28"/>
      <c r="O651" s="28"/>
      <c r="P651" s="28"/>
      <c r="Q651" s="28"/>
      <c r="R651" s="35"/>
      <c r="S651" s="28"/>
    </row>
    <row r="652" customFormat="false" ht="15" hidden="false" customHeight="false" outlineLevel="0" collapsed="false">
      <c r="A652" s="34" t="str">
        <f aca="false">IF(E652="","",ROW()-3)</f>
        <v/>
      </c>
      <c r="B652" s="35"/>
      <c r="C652" s="28"/>
      <c r="D652" s="28"/>
      <c r="E652" s="28"/>
      <c r="F652" s="28"/>
      <c r="G652" s="32" t="str">
        <f aca="false">IF(E652="","",IFERROR(INDEX(Товары!$D$4:$D$200,MATCH(E652,Товары!$B$4:$B$200,0)),0))</f>
        <v/>
      </c>
      <c r="H652" s="29"/>
      <c r="I652" s="32" t="str">
        <f aca="false">IF(OR(E652="",F652=""),"",F652*G652-N(H652))</f>
        <v/>
      </c>
      <c r="J652" s="29"/>
      <c r="K652" s="32" t="str">
        <f aca="false">IF(AND(I652="",N(J652)=0),"",N(I652)+N(J652))</f>
        <v/>
      </c>
      <c r="L652" s="32" t="str">
        <f aca="false">IF(OR(E652="",F652=""),"",F652*IFERROR(INDEX(Товары!$C$4:$C$200,MATCH(E652,Товары!$B$4:$B$200,0)),0))</f>
        <v/>
      </c>
      <c r="M652" s="32" t="str">
        <f aca="false">IF(I652="","",I652-L652)</f>
        <v/>
      </c>
      <c r="N652" s="28"/>
      <c r="O652" s="28"/>
      <c r="P652" s="28"/>
      <c r="Q652" s="28"/>
      <c r="R652" s="35"/>
      <c r="S652" s="28"/>
    </row>
    <row r="653" customFormat="false" ht="15" hidden="false" customHeight="false" outlineLevel="0" collapsed="false">
      <c r="A653" s="34" t="str">
        <f aca="false">IF(E653="","",ROW()-3)</f>
        <v/>
      </c>
      <c r="B653" s="35"/>
      <c r="C653" s="28"/>
      <c r="D653" s="28"/>
      <c r="E653" s="28"/>
      <c r="F653" s="28"/>
      <c r="G653" s="32" t="str">
        <f aca="false">IF(E653="","",IFERROR(INDEX(Товары!$D$4:$D$200,MATCH(E653,Товары!$B$4:$B$200,0)),0))</f>
        <v/>
      </c>
      <c r="H653" s="29"/>
      <c r="I653" s="32" t="str">
        <f aca="false">IF(OR(E653="",F653=""),"",F653*G653-N(H653))</f>
        <v/>
      </c>
      <c r="J653" s="29"/>
      <c r="K653" s="32" t="str">
        <f aca="false">IF(AND(I653="",N(J653)=0),"",N(I653)+N(J653))</f>
        <v/>
      </c>
      <c r="L653" s="32" t="str">
        <f aca="false">IF(OR(E653="",F653=""),"",F653*IFERROR(INDEX(Товары!$C$4:$C$200,MATCH(E653,Товары!$B$4:$B$200,0)),0))</f>
        <v/>
      </c>
      <c r="M653" s="32" t="str">
        <f aca="false">IF(I653="","",I653-L653)</f>
        <v/>
      </c>
      <c r="N653" s="28"/>
      <c r="O653" s="28"/>
      <c r="P653" s="28"/>
      <c r="Q653" s="28"/>
      <c r="R653" s="35"/>
      <c r="S653" s="28"/>
    </row>
    <row r="654" customFormat="false" ht="15" hidden="false" customHeight="false" outlineLevel="0" collapsed="false">
      <c r="A654" s="34" t="str">
        <f aca="false">IF(E654="","",ROW()-3)</f>
        <v/>
      </c>
      <c r="B654" s="35"/>
      <c r="C654" s="28"/>
      <c r="D654" s="28"/>
      <c r="E654" s="28"/>
      <c r="F654" s="28"/>
      <c r="G654" s="32" t="str">
        <f aca="false">IF(E654="","",IFERROR(INDEX(Товары!$D$4:$D$200,MATCH(E654,Товары!$B$4:$B$200,0)),0))</f>
        <v/>
      </c>
      <c r="H654" s="29"/>
      <c r="I654" s="32" t="str">
        <f aca="false">IF(OR(E654="",F654=""),"",F654*G654-N(H654))</f>
        <v/>
      </c>
      <c r="J654" s="29"/>
      <c r="K654" s="32" t="str">
        <f aca="false">IF(AND(I654="",N(J654)=0),"",N(I654)+N(J654))</f>
        <v/>
      </c>
      <c r="L654" s="32" t="str">
        <f aca="false">IF(OR(E654="",F654=""),"",F654*IFERROR(INDEX(Товары!$C$4:$C$200,MATCH(E654,Товары!$B$4:$B$200,0)),0))</f>
        <v/>
      </c>
      <c r="M654" s="32" t="str">
        <f aca="false">IF(I654="","",I654-L654)</f>
        <v/>
      </c>
      <c r="N654" s="28"/>
      <c r="O654" s="28"/>
      <c r="P654" s="28"/>
      <c r="Q654" s="28"/>
      <c r="R654" s="35"/>
      <c r="S654" s="28"/>
    </row>
    <row r="655" customFormat="false" ht="15" hidden="false" customHeight="false" outlineLevel="0" collapsed="false">
      <c r="A655" s="34" t="str">
        <f aca="false">IF(E655="","",ROW()-3)</f>
        <v/>
      </c>
      <c r="B655" s="35"/>
      <c r="C655" s="28"/>
      <c r="D655" s="28"/>
      <c r="E655" s="28"/>
      <c r="F655" s="28"/>
      <c r="G655" s="32" t="str">
        <f aca="false">IF(E655="","",IFERROR(INDEX(Товары!$D$4:$D$200,MATCH(E655,Товары!$B$4:$B$200,0)),0))</f>
        <v/>
      </c>
      <c r="H655" s="29"/>
      <c r="I655" s="32" t="str">
        <f aca="false">IF(OR(E655="",F655=""),"",F655*G655-N(H655))</f>
        <v/>
      </c>
      <c r="J655" s="29"/>
      <c r="K655" s="32" t="str">
        <f aca="false">IF(AND(I655="",N(J655)=0),"",N(I655)+N(J655))</f>
        <v/>
      </c>
      <c r="L655" s="32" t="str">
        <f aca="false">IF(OR(E655="",F655=""),"",F655*IFERROR(INDEX(Товары!$C$4:$C$200,MATCH(E655,Товары!$B$4:$B$200,0)),0))</f>
        <v/>
      </c>
      <c r="M655" s="32" t="str">
        <f aca="false">IF(I655="","",I655-L655)</f>
        <v/>
      </c>
      <c r="N655" s="28"/>
      <c r="O655" s="28"/>
      <c r="P655" s="28"/>
      <c r="Q655" s="28"/>
      <c r="R655" s="35"/>
      <c r="S655" s="28"/>
    </row>
    <row r="656" customFormat="false" ht="15" hidden="false" customHeight="false" outlineLevel="0" collapsed="false">
      <c r="A656" s="34" t="str">
        <f aca="false">IF(E656="","",ROW()-3)</f>
        <v/>
      </c>
      <c r="B656" s="35"/>
      <c r="C656" s="28"/>
      <c r="D656" s="28"/>
      <c r="E656" s="28"/>
      <c r="F656" s="28"/>
      <c r="G656" s="32" t="str">
        <f aca="false">IF(E656="","",IFERROR(INDEX(Товары!$D$4:$D$200,MATCH(E656,Товары!$B$4:$B$200,0)),0))</f>
        <v/>
      </c>
      <c r="H656" s="29"/>
      <c r="I656" s="32" t="str">
        <f aca="false">IF(OR(E656="",F656=""),"",F656*G656-N(H656))</f>
        <v/>
      </c>
      <c r="J656" s="29"/>
      <c r="K656" s="32" t="str">
        <f aca="false">IF(AND(I656="",N(J656)=0),"",N(I656)+N(J656))</f>
        <v/>
      </c>
      <c r="L656" s="32" t="str">
        <f aca="false">IF(OR(E656="",F656=""),"",F656*IFERROR(INDEX(Товары!$C$4:$C$200,MATCH(E656,Товары!$B$4:$B$200,0)),0))</f>
        <v/>
      </c>
      <c r="M656" s="32" t="str">
        <f aca="false">IF(I656="","",I656-L656)</f>
        <v/>
      </c>
      <c r="N656" s="28"/>
      <c r="O656" s="28"/>
      <c r="P656" s="28"/>
      <c r="Q656" s="28"/>
      <c r="R656" s="35"/>
      <c r="S656" s="28"/>
    </row>
    <row r="657" customFormat="false" ht="15" hidden="false" customHeight="false" outlineLevel="0" collapsed="false">
      <c r="A657" s="34" t="str">
        <f aca="false">IF(E657="","",ROW()-3)</f>
        <v/>
      </c>
      <c r="B657" s="35"/>
      <c r="C657" s="28"/>
      <c r="D657" s="28"/>
      <c r="E657" s="28"/>
      <c r="F657" s="28"/>
      <c r="G657" s="32" t="str">
        <f aca="false">IF(E657="","",IFERROR(INDEX(Товары!$D$4:$D$200,MATCH(E657,Товары!$B$4:$B$200,0)),0))</f>
        <v/>
      </c>
      <c r="H657" s="29"/>
      <c r="I657" s="32" t="str">
        <f aca="false">IF(OR(E657="",F657=""),"",F657*G657-N(H657))</f>
        <v/>
      </c>
      <c r="J657" s="29"/>
      <c r="K657" s="32" t="str">
        <f aca="false">IF(AND(I657="",N(J657)=0),"",N(I657)+N(J657))</f>
        <v/>
      </c>
      <c r="L657" s="32" t="str">
        <f aca="false">IF(OR(E657="",F657=""),"",F657*IFERROR(INDEX(Товары!$C$4:$C$200,MATCH(E657,Товары!$B$4:$B$200,0)),0))</f>
        <v/>
      </c>
      <c r="M657" s="32" t="str">
        <f aca="false">IF(I657="","",I657-L657)</f>
        <v/>
      </c>
      <c r="N657" s="28"/>
      <c r="O657" s="28"/>
      <c r="P657" s="28"/>
      <c r="Q657" s="28"/>
      <c r="R657" s="35"/>
      <c r="S657" s="28"/>
    </row>
    <row r="658" customFormat="false" ht="15" hidden="false" customHeight="false" outlineLevel="0" collapsed="false">
      <c r="A658" s="34" t="str">
        <f aca="false">IF(E658="","",ROW()-3)</f>
        <v/>
      </c>
      <c r="B658" s="35"/>
      <c r="C658" s="28"/>
      <c r="D658" s="28"/>
      <c r="E658" s="28"/>
      <c r="F658" s="28"/>
      <c r="G658" s="32" t="str">
        <f aca="false">IF(E658="","",IFERROR(INDEX(Товары!$D$4:$D$200,MATCH(E658,Товары!$B$4:$B$200,0)),0))</f>
        <v/>
      </c>
      <c r="H658" s="29"/>
      <c r="I658" s="32" t="str">
        <f aca="false">IF(OR(E658="",F658=""),"",F658*G658-N(H658))</f>
        <v/>
      </c>
      <c r="J658" s="29"/>
      <c r="K658" s="32" t="str">
        <f aca="false">IF(AND(I658="",N(J658)=0),"",N(I658)+N(J658))</f>
        <v/>
      </c>
      <c r="L658" s="32" t="str">
        <f aca="false">IF(OR(E658="",F658=""),"",F658*IFERROR(INDEX(Товары!$C$4:$C$200,MATCH(E658,Товары!$B$4:$B$200,0)),0))</f>
        <v/>
      </c>
      <c r="M658" s="32" t="str">
        <f aca="false">IF(I658="","",I658-L658)</f>
        <v/>
      </c>
      <c r="N658" s="28"/>
      <c r="O658" s="28"/>
      <c r="P658" s="28"/>
      <c r="Q658" s="28"/>
      <c r="R658" s="35"/>
      <c r="S658" s="28"/>
    </row>
    <row r="659" customFormat="false" ht="15" hidden="false" customHeight="false" outlineLevel="0" collapsed="false">
      <c r="A659" s="34" t="str">
        <f aca="false">IF(E659="","",ROW()-3)</f>
        <v/>
      </c>
      <c r="B659" s="35"/>
      <c r="C659" s="28"/>
      <c r="D659" s="28"/>
      <c r="E659" s="28"/>
      <c r="F659" s="28"/>
      <c r="G659" s="32" t="str">
        <f aca="false">IF(E659="","",IFERROR(INDEX(Товары!$D$4:$D$200,MATCH(E659,Товары!$B$4:$B$200,0)),0))</f>
        <v/>
      </c>
      <c r="H659" s="29"/>
      <c r="I659" s="32" t="str">
        <f aca="false">IF(OR(E659="",F659=""),"",F659*G659-N(H659))</f>
        <v/>
      </c>
      <c r="J659" s="29"/>
      <c r="K659" s="32" t="str">
        <f aca="false">IF(AND(I659="",N(J659)=0),"",N(I659)+N(J659))</f>
        <v/>
      </c>
      <c r="L659" s="32" t="str">
        <f aca="false">IF(OR(E659="",F659=""),"",F659*IFERROR(INDEX(Товары!$C$4:$C$200,MATCH(E659,Товары!$B$4:$B$200,0)),0))</f>
        <v/>
      </c>
      <c r="M659" s="32" t="str">
        <f aca="false">IF(I659="","",I659-L659)</f>
        <v/>
      </c>
      <c r="N659" s="28"/>
      <c r="O659" s="28"/>
      <c r="P659" s="28"/>
      <c r="Q659" s="28"/>
      <c r="R659" s="35"/>
      <c r="S659" s="28"/>
    </row>
    <row r="660" customFormat="false" ht="15" hidden="false" customHeight="false" outlineLevel="0" collapsed="false">
      <c r="A660" s="34" t="str">
        <f aca="false">IF(E660="","",ROW()-3)</f>
        <v/>
      </c>
      <c r="B660" s="35"/>
      <c r="C660" s="28"/>
      <c r="D660" s="28"/>
      <c r="E660" s="28"/>
      <c r="F660" s="28"/>
      <c r="G660" s="32" t="str">
        <f aca="false">IF(E660="","",IFERROR(INDEX(Товары!$D$4:$D$200,MATCH(E660,Товары!$B$4:$B$200,0)),0))</f>
        <v/>
      </c>
      <c r="H660" s="29"/>
      <c r="I660" s="32" t="str">
        <f aca="false">IF(OR(E660="",F660=""),"",F660*G660-N(H660))</f>
        <v/>
      </c>
      <c r="J660" s="29"/>
      <c r="K660" s="32" t="str">
        <f aca="false">IF(AND(I660="",N(J660)=0),"",N(I660)+N(J660))</f>
        <v/>
      </c>
      <c r="L660" s="32" t="str">
        <f aca="false">IF(OR(E660="",F660=""),"",F660*IFERROR(INDEX(Товары!$C$4:$C$200,MATCH(E660,Товары!$B$4:$B$200,0)),0))</f>
        <v/>
      </c>
      <c r="M660" s="32" t="str">
        <f aca="false">IF(I660="","",I660-L660)</f>
        <v/>
      </c>
      <c r="N660" s="28"/>
      <c r="O660" s="28"/>
      <c r="P660" s="28"/>
      <c r="Q660" s="28"/>
      <c r="R660" s="35"/>
      <c r="S660" s="28"/>
    </row>
    <row r="661" customFormat="false" ht="15" hidden="false" customHeight="false" outlineLevel="0" collapsed="false">
      <c r="A661" s="34" t="str">
        <f aca="false">IF(E661="","",ROW()-3)</f>
        <v/>
      </c>
      <c r="B661" s="35"/>
      <c r="C661" s="28"/>
      <c r="D661" s="28"/>
      <c r="E661" s="28"/>
      <c r="F661" s="28"/>
      <c r="G661" s="32" t="str">
        <f aca="false">IF(E661="","",IFERROR(INDEX(Товары!$D$4:$D$200,MATCH(E661,Товары!$B$4:$B$200,0)),0))</f>
        <v/>
      </c>
      <c r="H661" s="29"/>
      <c r="I661" s="32" t="str">
        <f aca="false">IF(OR(E661="",F661=""),"",F661*G661-N(H661))</f>
        <v/>
      </c>
      <c r="J661" s="29"/>
      <c r="K661" s="32" t="str">
        <f aca="false">IF(AND(I661="",N(J661)=0),"",N(I661)+N(J661))</f>
        <v/>
      </c>
      <c r="L661" s="32" t="str">
        <f aca="false">IF(OR(E661="",F661=""),"",F661*IFERROR(INDEX(Товары!$C$4:$C$200,MATCH(E661,Товары!$B$4:$B$200,0)),0))</f>
        <v/>
      </c>
      <c r="M661" s="32" t="str">
        <f aca="false">IF(I661="","",I661-L661)</f>
        <v/>
      </c>
      <c r="N661" s="28"/>
      <c r="O661" s="28"/>
      <c r="P661" s="28"/>
      <c r="Q661" s="28"/>
      <c r="R661" s="35"/>
      <c r="S661" s="28"/>
    </row>
    <row r="662" customFormat="false" ht="15" hidden="false" customHeight="false" outlineLevel="0" collapsed="false">
      <c r="A662" s="34" t="str">
        <f aca="false">IF(E662="","",ROW()-3)</f>
        <v/>
      </c>
      <c r="B662" s="35"/>
      <c r="C662" s="28"/>
      <c r="D662" s="28"/>
      <c r="E662" s="28"/>
      <c r="F662" s="28"/>
      <c r="G662" s="32" t="str">
        <f aca="false">IF(E662="","",IFERROR(INDEX(Товары!$D$4:$D$200,MATCH(E662,Товары!$B$4:$B$200,0)),0))</f>
        <v/>
      </c>
      <c r="H662" s="29"/>
      <c r="I662" s="32" t="str">
        <f aca="false">IF(OR(E662="",F662=""),"",F662*G662-N(H662))</f>
        <v/>
      </c>
      <c r="J662" s="29"/>
      <c r="K662" s="32" t="str">
        <f aca="false">IF(AND(I662="",N(J662)=0),"",N(I662)+N(J662))</f>
        <v/>
      </c>
      <c r="L662" s="32" t="str">
        <f aca="false">IF(OR(E662="",F662=""),"",F662*IFERROR(INDEX(Товары!$C$4:$C$200,MATCH(E662,Товары!$B$4:$B$200,0)),0))</f>
        <v/>
      </c>
      <c r="M662" s="32" t="str">
        <f aca="false">IF(I662="","",I662-L662)</f>
        <v/>
      </c>
      <c r="N662" s="28"/>
      <c r="O662" s="28"/>
      <c r="P662" s="28"/>
      <c r="Q662" s="28"/>
      <c r="R662" s="35"/>
      <c r="S662" s="28"/>
    </row>
    <row r="663" customFormat="false" ht="15" hidden="false" customHeight="false" outlineLevel="0" collapsed="false">
      <c r="A663" s="34" t="str">
        <f aca="false">IF(E663="","",ROW()-3)</f>
        <v/>
      </c>
      <c r="B663" s="35"/>
      <c r="C663" s="28"/>
      <c r="D663" s="28"/>
      <c r="E663" s="28"/>
      <c r="F663" s="28"/>
      <c r="G663" s="32" t="str">
        <f aca="false">IF(E663="","",IFERROR(INDEX(Товары!$D$4:$D$200,MATCH(E663,Товары!$B$4:$B$200,0)),0))</f>
        <v/>
      </c>
      <c r="H663" s="29"/>
      <c r="I663" s="32" t="str">
        <f aca="false">IF(OR(E663="",F663=""),"",F663*G663-N(H663))</f>
        <v/>
      </c>
      <c r="J663" s="29"/>
      <c r="K663" s="32" t="str">
        <f aca="false">IF(AND(I663="",N(J663)=0),"",N(I663)+N(J663))</f>
        <v/>
      </c>
      <c r="L663" s="32" t="str">
        <f aca="false">IF(OR(E663="",F663=""),"",F663*IFERROR(INDEX(Товары!$C$4:$C$200,MATCH(E663,Товары!$B$4:$B$200,0)),0))</f>
        <v/>
      </c>
      <c r="M663" s="32" t="str">
        <f aca="false">IF(I663="","",I663-L663)</f>
        <v/>
      </c>
      <c r="N663" s="28"/>
      <c r="O663" s="28"/>
      <c r="P663" s="28"/>
      <c r="Q663" s="28"/>
      <c r="R663" s="35"/>
      <c r="S663" s="28"/>
    </row>
    <row r="664" customFormat="false" ht="15" hidden="false" customHeight="false" outlineLevel="0" collapsed="false">
      <c r="A664" s="34" t="str">
        <f aca="false">IF(E664="","",ROW()-3)</f>
        <v/>
      </c>
      <c r="B664" s="35"/>
      <c r="C664" s="28"/>
      <c r="D664" s="28"/>
      <c r="E664" s="28"/>
      <c r="F664" s="28"/>
      <c r="G664" s="32" t="str">
        <f aca="false">IF(E664="","",IFERROR(INDEX(Товары!$D$4:$D$200,MATCH(E664,Товары!$B$4:$B$200,0)),0))</f>
        <v/>
      </c>
      <c r="H664" s="29"/>
      <c r="I664" s="32" t="str">
        <f aca="false">IF(OR(E664="",F664=""),"",F664*G664-N(H664))</f>
        <v/>
      </c>
      <c r="J664" s="29"/>
      <c r="K664" s="32" t="str">
        <f aca="false">IF(AND(I664="",N(J664)=0),"",N(I664)+N(J664))</f>
        <v/>
      </c>
      <c r="L664" s="32" t="str">
        <f aca="false">IF(OR(E664="",F664=""),"",F664*IFERROR(INDEX(Товары!$C$4:$C$200,MATCH(E664,Товары!$B$4:$B$200,0)),0))</f>
        <v/>
      </c>
      <c r="M664" s="32" t="str">
        <f aca="false">IF(I664="","",I664-L664)</f>
        <v/>
      </c>
      <c r="N664" s="28"/>
      <c r="O664" s="28"/>
      <c r="P664" s="28"/>
      <c r="Q664" s="28"/>
      <c r="R664" s="35"/>
      <c r="S664" s="28"/>
    </row>
    <row r="665" customFormat="false" ht="15" hidden="false" customHeight="false" outlineLevel="0" collapsed="false">
      <c r="A665" s="34" t="str">
        <f aca="false">IF(E665="","",ROW()-3)</f>
        <v/>
      </c>
      <c r="B665" s="35"/>
      <c r="C665" s="28"/>
      <c r="D665" s="28"/>
      <c r="E665" s="28"/>
      <c r="F665" s="28"/>
      <c r="G665" s="32" t="str">
        <f aca="false">IF(E665="","",IFERROR(INDEX(Товары!$D$4:$D$200,MATCH(E665,Товары!$B$4:$B$200,0)),0))</f>
        <v/>
      </c>
      <c r="H665" s="29"/>
      <c r="I665" s="32" t="str">
        <f aca="false">IF(OR(E665="",F665=""),"",F665*G665-N(H665))</f>
        <v/>
      </c>
      <c r="J665" s="29"/>
      <c r="K665" s="32" t="str">
        <f aca="false">IF(AND(I665="",N(J665)=0),"",N(I665)+N(J665))</f>
        <v/>
      </c>
      <c r="L665" s="32" t="str">
        <f aca="false">IF(OR(E665="",F665=""),"",F665*IFERROR(INDEX(Товары!$C$4:$C$200,MATCH(E665,Товары!$B$4:$B$200,0)),0))</f>
        <v/>
      </c>
      <c r="M665" s="32" t="str">
        <f aca="false">IF(I665="","",I665-L665)</f>
        <v/>
      </c>
      <c r="N665" s="28"/>
      <c r="O665" s="28"/>
      <c r="P665" s="28"/>
      <c r="Q665" s="28"/>
      <c r="R665" s="35"/>
      <c r="S665" s="28"/>
    </row>
    <row r="666" customFormat="false" ht="15" hidden="false" customHeight="false" outlineLevel="0" collapsed="false">
      <c r="A666" s="34" t="str">
        <f aca="false">IF(E666="","",ROW()-3)</f>
        <v/>
      </c>
      <c r="B666" s="35"/>
      <c r="C666" s="28"/>
      <c r="D666" s="28"/>
      <c r="E666" s="28"/>
      <c r="F666" s="28"/>
      <c r="G666" s="32" t="str">
        <f aca="false">IF(E666="","",IFERROR(INDEX(Товары!$D$4:$D$200,MATCH(E666,Товары!$B$4:$B$200,0)),0))</f>
        <v/>
      </c>
      <c r="H666" s="29"/>
      <c r="I666" s="32" t="str">
        <f aca="false">IF(OR(E666="",F666=""),"",F666*G666-N(H666))</f>
        <v/>
      </c>
      <c r="J666" s="29"/>
      <c r="K666" s="32" t="str">
        <f aca="false">IF(AND(I666="",N(J666)=0),"",N(I666)+N(J666))</f>
        <v/>
      </c>
      <c r="L666" s="32" t="str">
        <f aca="false">IF(OR(E666="",F666=""),"",F666*IFERROR(INDEX(Товары!$C$4:$C$200,MATCH(E666,Товары!$B$4:$B$200,0)),0))</f>
        <v/>
      </c>
      <c r="M666" s="32" t="str">
        <f aca="false">IF(I666="","",I666-L666)</f>
        <v/>
      </c>
      <c r="N666" s="28"/>
      <c r="O666" s="28"/>
      <c r="P666" s="28"/>
      <c r="Q666" s="28"/>
      <c r="R666" s="35"/>
      <c r="S666" s="28"/>
    </row>
    <row r="667" customFormat="false" ht="15" hidden="false" customHeight="false" outlineLevel="0" collapsed="false">
      <c r="A667" s="34" t="str">
        <f aca="false">IF(E667="","",ROW()-3)</f>
        <v/>
      </c>
      <c r="B667" s="35"/>
      <c r="C667" s="28"/>
      <c r="D667" s="28"/>
      <c r="E667" s="28"/>
      <c r="F667" s="28"/>
      <c r="G667" s="32" t="str">
        <f aca="false">IF(E667="","",IFERROR(INDEX(Товары!$D$4:$D$200,MATCH(E667,Товары!$B$4:$B$200,0)),0))</f>
        <v/>
      </c>
      <c r="H667" s="29"/>
      <c r="I667" s="32" t="str">
        <f aca="false">IF(OR(E667="",F667=""),"",F667*G667-N(H667))</f>
        <v/>
      </c>
      <c r="J667" s="29"/>
      <c r="K667" s="32" t="str">
        <f aca="false">IF(AND(I667="",N(J667)=0),"",N(I667)+N(J667))</f>
        <v/>
      </c>
      <c r="L667" s="32" t="str">
        <f aca="false">IF(OR(E667="",F667=""),"",F667*IFERROR(INDEX(Товары!$C$4:$C$200,MATCH(E667,Товары!$B$4:$B$200,0)),0))</f>
        <v/>
      </c>
      <c r="M667" s="32" t="str">
        <f aca="false">IF(I667="","",I667-L667)</f>
        <v/>
      </c>
      <c r="N667" s="28"/>
      <c r="O667" s="28"/>
      <c r="P667" s="28"/>
      <c r="Q667" s="28"/>
      <c r="R667" s="35"/>
      <c r="S667" s="28"/>
    </row>
    <row r="668" customFormat="false" ht="15" hidden="false" customHeight="false" outlineLevel="0" collapsed="false">
      <c r="A668" s="34" t="str">
        <f aca="false">IF(E668="","",ROW()-3)</f>
        <v/>
      </c>
      <c r="B668" s="35"/>
      <c r="C668" s="28"/>
      <c r="D668" s="28"/>
      <c r="E668" s="28"/>
      <c r="F668" s="28"/>
      <c r="G668" s="32" t="str">
        <f aca="false">IF(E668="","",IFERROR(INDEX(Товары!$D$4:$D$200,MATCH(E668,Товары!$B$4:$B$200,0)),0))</f>
        <v/>
      </c>
      <c r="H668" s="29"/>
      <c r="I668" s="32" t="str">
        <f aca="false">IF(OR(E668="",F668=""),"",F668*G668-N(H668))</f>
        <v/>
      </c>
      <c r="J668" s="29"/>
      <c r="K668" s="32" t="str">
        <f aca="false">IF(AND(I668="",N(J668)=0),"",N(I668)+N(J668))</f>
        <v/>
      </c>
      <c r="L668" s="32" t="str">
        <f aca="false">IF(OR(E668="",F668=""),"",F668*IFERROR(INDEX(Товары!$C$4:$C$200,MATCH(E668,Товары!$B$4:$B$200,0)),0))</f>
        <v/>
      </c>
      <c r="M668" s="32" t="str">
        <f aca="false">IF(I668="","",I668-L668)</f>
        <v/>
      </c>
      <c r="N668" s="28"/>
      <c r="O668" s="28"/>
      <c r="P668" s="28"/>
      <c r="Q668" s="28"/>
      <c r="R668" s="35"/>
      <c r="S668" s="28"/>
    </row>
    <row r="669" customFormat="false" ht="15" hidden="false" customHeight="false" outlineLevel="0" collapsed="false">
      <c r="A669" s="34" t="str">
        <f aca="false">IF(E669="","",ROW()-3)</f>
        <v/>
      </c>
      <c r="B669" s="35"/>
      <c r="C669" s="28"/>
      <c r="D669" s="28"/>
      <c r="E669" s="28"/>
      <c r="F669" s="28"/>
      <c r="G669" s="32" t="str">
        <f aca="false">IF(E669="","",IFERROR(INDEX(Товары!$D$4:$D$200,MATCH(E669,Товары!$B$4:$B$200,0)),0))</f>
        <v/>
      </c>
      <c r="H669" s="29"/>
      <c r="I669" s="32" t="str">
        <f aca="false">IF(OR(E669="",F669=""),"",F669*G669-N(H669))</f>
        <v/>
      </c>
      <c r="J669" s="29"/>
      <c r="K669" s="32" t="str">
        <f aca="false">IF(AND(I669="",N(J669)=0),"",N(I669)+N(J669))</f>
        <v/>
      </c>
      <c r="L669" s="32" t="str">
        <f aca="false">IF(OR(E669="",F669=""),"",F669*IFERROR(INDEX(Товары!$C$4:$C$200,MATCH(E669,Товары!$B$4:$B$200,0)),0))</f>
        <v/>
      </c>
      <c r="M669" s="32" t="str">
        <f aca="false">IF(I669="","",I669-L669)</f>
        <v/>
      </c>
      <c r="N669" s="28"/>
      <c r="O669" s="28"/>
      <c r="P669" s="28"/>
      <c r="Q669" s="28"/>
      <c r="R669" s="35"/>
      <c r="S669" s="28"/>
    </row>
    <row r="670" customFormat="false" ht="15" hidden="false" customHeight="false" outlineLevel="0" collapsed="false">
      <c r="A670" s="34" t="str">
        <f aca="false">IF(E670="","",ROW()-3)</f>
        <v/>
      </c>
      <c r="B670" s="35"/>
      <c r="C670" s="28"/>
      <c r="D670" s="28"/>
      <c r="E670" s="28"/>
      <c r="F670" s="28"/>
      <c r="G670" s="32" t="str">
        <f aca="false">IF(E670="","",IFERROR(INDEX(Товары!$D$4:$D$200,MATCH(E670,Товары!$B$4:$B$200,0)),0))</f>
        <v/>
      </c>
      <c r="H670" s="29"/>
      <c r="I670" s="32" t="str">
        <f aca="false">IF(OR(E670="",F670=""),"",F670*G670-N(H670))</f>
        <v/>
      </c>
      <c r="J670" s="29"/>
      <c r="K670" s="32" t="str">
        <f aca="false">IF(AND(I670="",N(J670)=0),"",N(I670)+N(J670))</f>
        <v/>
      </c>
      <c r="L670" s="32" t="str">
        <f aca="false">IF(OR(E670="",F670=""),"",F670*IFERROR(INDEX(Товары!$C$4:$C$200,MATCH(E670,Товары!$B$4:$B$200,0)),0))</f>
        <v/>
      </c>
      <c r="M670" s="32" t="str">
        <f aca="false">IF(I670="","",I670-L670)</f>
        <v/>
      </c>
      <c r="N670" s="28"/>
      <c r="O670" s="28"/>
      <c r="P670" s="28"/>
      <c r="Q670" s="28"/>
      <c r="R670" s="35"/>
      <c r="S670" s="28"/>
    </row>
    <row r="671" customFormat="false" ht="15" hidden="false" customHeight="false" outlineLevel="0" collapsed="false">
      <c r="A671" s="34" t="str">
        <f aca="false">IF(E671="","",ROW()-3)</f>
        <v/>
      </c>
      <c r="B671" s="35"/>
      <c r="C671" s="28"/>
      <c r="D671" s="28"/>
      <c r="E671" s="28"/>
      <c r="F671" s="28"/>
      <c r="G671" s="32" t="str">
        <f aca="false">IF(E671="","",IFERROR(INDEX(Товары!$D$4:$D$200,MATCH(E671,Товары!$B$4:$B$200,0)),0))</f>
        <v/>
      </c>
      <c r="H671" s="29"/>
      <c r="I671" s="32" t="str">
        <f aca="false">IF(OR(E671="",F671=""),"",F671*G671-N(H671))</f>
        <v/>
      </c>
      <c r="J671" s="29"/>
      <c r="K671" s="32" t="str">
        <f aca="false">IF(AND(I671="",N(J671)=0),"",N(I671)+N(J671))</f>
        <v/>
      </c>
      <c r="L671" s="32" t="str">
        <f aca="false">IF(OR(E671="",F671=""),"",F671*IFERROR(INDEX(Товары!$C$4:$C$200,MATCH(E671,Товары!$B$4:$B$200,0)),0))</f>
        <v/>
      </c>
      <c r="M671" s="32" t="str">
        <f aca="false">IF(I671="","",I671-L671)</f>
        <v/>
      </c>
      <c r="N671" s="28"/>
      <c r="O671" s="28"/>
      <c r="P671" s="28"/>
      <c r="Q671" s="28"/>
      <c r="R671" s="35"/>
      <c r="S671" s="28"/>
    </row>
    <row r="672" customFormat="false" ht="15" hidden="false" customHeight="false" outlineLevel="0" collapsed="false">
      <c r="A672" s="34" t="str">
        <f aca="false">IF(E672="","",ROW()-3)</f>
        <v/>
      </c>
      <c r="B672" s="35"/>
      <c r="C672" s="28"/>
      <c r="D672" s="28"/>
      <c r="E672" s="28"/>
      <c r="F672" s="28"/>
      <c r="G672" s="32" t="str">
        <f aca="false">IF(E672="","",IFERROR(INDEX(Товары!$D$4:$D$200,MATCH(E672,Товары!$B$4:$B$200,0)),0))</f>
        <v/>
      </c>
      <c r="H672" s="29"/>
      <c r="I672" s="32" t="str">
        <f aca="false">IF(OR(E672="",F672=""),"",F672*G672-N(H672))</f>
        <v/>
      </c>
      <c r="J672" s="29"/>
      <c r="K672" s="32" t="str">
        <f aca="false">IF(AND(I672="",N(J672)=0),"",N(I672)+N(J672))</f>
        <v/>
      </c>
      <c r="L672" s="32" t="str">
        <f aca="false">IF(OR(E672="",F672=""),"",F672*IFERROR(INDEX(Товары!$C$4:$C$200,MATCH(E672,Товары!$B$4:$B$200,0)),0))</f>
        <v/>
      </c>
      <c r="M672" s="32" t="str">
        <f aca="false">IF(I672="","",I672-L672)</f>
        <v/>
      </c>
      <c r="N672" s="28"/>
      <c r="O672" s="28"/>
      <c r="P672" s="28"/>
      <c r="Q672" s="28"/>
      <c r="R672" s="35"/>
      <c r="S672" s="28"/>
    </row>
    <row r="673" customFormat="false" ht="15" hidden="false" customHeight="false" outlineLevel="0" collapsed="false">
      <c r="A673" s="34" t="str">
        <f aca="false">IF(E673="","",ROW()-3)</f>
        <v/>
      </c>
      <c r="B673" s="35"/>
      <c r="C673" s="28"/>
      <c r="D673" s="28"/>
      <c r="E673" s="28"/>
      <c r="F673" s="28"/>
      <c r="G673" s="32" t="str">
        <f aca="false">IF(E673="","",IFERROR(INDEX(Товары!$D$4:$D$200,MATCH(E673,Товары!$B$4:$B$200,0)),0))</f>
        <v/>
      </c>
      <c r="H673" s="29"/>
      <c r="I673" s="32" t="str">
        <f aca="false">IF(OR(E673="",F673=""),"",F673*G673-N(H673))</f>
        <v/>
      </c>
      <c r="J673" s="29"/>
      <c r="K673" s="32" t="str">
        <f aca="false">IF(AND(I673="",N(J673)=0),"",N(I673)+N(J673))</f>
        <v/>
      </c>
      <c r="L673" s="32" t="str">
        <f aca="false">IF(OR(E673="",F673=""),"",F673*IFERROR(INDEX(Товары!$C$4:$C$200,MATCH(E673,Товары!$B$4:$B$200,0)),0))</f>
        <v/>
      </c>
      <c r="M673" s="32" t="str">
        <f aca="false">IF(I673="","",I673-L673)</f>
        <v/>
      </c>
      <c r="N673" s="28"/>
      <c r="O673" s="28"/>
      <c r="P673" s="28"/>
      <c r="Q673" s="28"/>
      <c r="R673" s="35"/>
      <c r="S673" s="28"/>
    </row>
    <row r="674" customFormat="false" ht="15" hidden="false" customHeight="false" outlineLevel="0" collapsed="false">
      <c r="A674" s="34" t="str">
        <f aca="false">IF(E674="","",ROW()-3)</f>
        <v/>
      </c>
      <c r="B674" s="35"/>
      <c r="C674" s="28"/>
      <c r="D674" s="28"/>
      <c r="E674" s="28"/>
      <c r="F674" s="28"/>
      <c r="G674" s="32" t="str">
        <f aca="false">IF(E674="","",IFERROR(INDEX(Товары!$D$4:$D$200,MATCH(E674,Товары!$B$4:$B$200,0)),0))</f>
        <v/>
      </c>
      <c r="H674" s="29"/>
      <c r="I674" s="32" t="str">
        <f aca="false">IF(OR(E674="",F674=""),"",F674*G674-N(H674))</f>
        <v/>
      </c>
      <c r="J674" s="29"/>
      <c r="K674" s="32" t="str">
        <f aca="false">IF(AND(I674="",N(J674)=0),"",N(I674)+N(J674))</f>
        <v/>
      </c>
      <c r="L674" s="32" t="str">
        <f aca="false">IF(OR(E674="",F674=""),"",F674*IFERROR(INDEX(Товары!$C$4:$C$200,MATCH(E674,Товары!$B$4:$B$200,0)),0))</f>
        <v/>
      </c>
      <c r="M674" s="32" t="str">
        <f aca="false">IF(I674="","",I674-L674)</f>
        <v/>
      </c>
      <c r="N674" s="28"/>
      <c r="O674" s="28"/>
      <c r="P674" s="28"/>
      <c r="Q674" s="28"/>
      <c r="R674" s="35"/>
      <c r="S674" s="28"/>
    </row>
    <row r="675" customFormat="false" ht="15" hidden="false" customHeight="false" outlineLevel="0" collapsed="false">
      <c r="A675" s="34" t="str">
        <f aca="false">IF(E675="","",ROW()-3)</f>
        <v/>
      </c>
      <c r="B675" s="35"/>
      <c r="C675" s="28"/>
      <c r="D675" s="28"/>
      <c r="E675" s="28"/>
      <c r="F675" s="28"/>
      <c r="G675" s="32" t="str">
        <f aca="false">IF(E675="","",IFERROR(INDEX(Товары!$D$4:$D$200,MATCH(E675,Товары!$B$4:$B$200,0)),0))</f>
        <v/>
      </c>
      <c r="H675" s="29"/>
      <c r="I675" s="32" t="str">
        <f aca="false">IF(OR(E675="",F675=""),"",F675*G675-N(H675))</f>
        <v/>
      </c>
      <c r="J675" s="29"/>
      <c r="K675" s="32" t="str">
        <f aca="false">IF(AND(I675="",N(J675)=0),"",N(I675)+N(J675))</f>
        <v/>
      </c>
      <c r="L675" s="32" t="str">
        <f aca="false">IF(OR(E675="",F675=""),"",F675*IFERROR(INDEX(Товары!$C$4:$C$200,MATCH(E675,Товары!$B$4:$B$200,0)),0))</f>
        <v/>
      </c>
      <c r="M675" s="32" t="str">
        <f aca="false">IF(I675="","",I675-L675)</f>
        <v/>
      </c>
      <c r="N675" s="28"/>
      <c r="O675" s="28"/>
      <c r="P675" s="28"/>
      <c r="Q675" s="28"/>
      <c r="R675" s="35"/>
      <c r="S675" s="28"/>
    </row>
    <row r="676" customFormat="false" ht="15" hidden="false" customHeight="false" outlineLevel="0" collapsed="false">
      <c r="A676" s="34" t="str">
        <f aca="false">IF(E676="","",ROW()-3)</f>
        <v/>
      </c>
      <c r="B676" s="35"/>
      <c r="C676" s="28"/>
      <c r="D676" s="28"/>
      <c r="E676" s="28"/>
      <c r="F676" s="28"/>
      <c r="G676" s="32" t="str">
        <f aca="false">IF(E676="","",IFERROR(INDEX(Товары!$D$4:$D$200,MATCH(E676,Товары!$B$4:$B$200,0)),0))</f>
        <v/>
      </c>
      <c r="H676" s="29"/>
      <c r="I676" s="32" t="str">
        <f aca="false">IF(OR(E676="",F676=""),"",F676*G676-N(H676))</f>
        <v/>
      </c>
      <c r="J676" s="29"/>
      <c r="K676" s="32" t="str">
        <f aca="false">IF(AND(I676="",N(J676)=0),"",N(I676)+N(J676))</f>
        <v/>
      </c>
      <c r="L676" s="32" t="str">
        <f aca="false">IF(OR(E676="",F676=""),"",F676*IFERROR(INDEX(Товары!$C$4:$C$200,MATCH(E676,Товары!$B$4:$B$200,0)),0))</f>
        <v/>
      </c>
      <c r="M676" s="32" t="str">
        <f aca="false">IF(I676="","",I676-L676)</f>
        <v/>
      </c>
      <c r="N676" s="28"/>
      <c r="O676" s="28"/>
      <c r="P676" s="28"/>
      <c r="Q676" s="28"/>
      <c r="R676" s="35"/>
      <c r="S676" s="28"/>
    </row>
    <row r="677" customFormat="false" ht="15" hidden="false" customHeight="false" outlineLevel="0" collapsed="false">
      <c r="A677" s="34" t="str">
        <f aca="false">IF(E677="","",ROW()-3)</f>
        <v/>
      </c>
      <c r="B677" s="35"/>
      <c r="C677" s="28"/>
      <c r="D677" s="28"/>
      <c r="E677" s="28"/>
      <c r="F677" s="28"/>
      <c r="G677" s="32" t="str">
        <f aca="false">IF(E677="","",IFERROR(INDEX(Товары!$D$4:$D$200,MATCH(E677,Товары!$B$4:$B$200,0)),0))</f>
        <v/>
      </c>
      <c r="H677" s="29"/>
      <c r="I677" s="32" t="str">
        <f aca="false">IF(OR(E677="",F677=""),"",F677*G677-N(H677))</f>
        <v/>
      </c>
      <c r="J677" s="29"/>
      <c r="K677" s="32" t="str">
        <f aca="false">IF(AND(I677="",N(J677)=0),"",N(I677)+N(J677))</f>
        <v/>
      </c>
      <c r="L677" s="32" t="str">
        <f aca="false">IF(OR(E677="",F677=""),"",F677*IFERROR(INDEX(Товары!$C$4:$C$200,MATCH(E677,Товары!$B$4:$B$200,0)),0))</f>
        <v/>
      </c>
      <c r="M677" s="32" t="str">
        <f aca="false">IF(I677="","",I677-L677)</f>
        <v/>
      </c>
      <c r="N677" s="28"/>
      <c r="O677" s="28"/>
      <c r="P677" s="28"/>
      <c r="Q677" s="28"/>
      <c r="R677" s="35"/>
      <c r="S677" s="28"/>
    </row>
    <row r="678" customFormat="false" ht="15" hidden="false" customHeight="false" outlineLevel="0" collapsed="false">
      <c r="A678" s="34" t="str">
        <f aca="false">IF(E678="","",ROW()-3)</f>
        <v/>
      </c>
      <c r="B678" s="35"/>
      <c r="C678" s="28"/>
      <c r="D678" s="28"/>
      <c r="E678" s="28"/>
      <c r="F678" s="28"/>
      <c r="G678" s="32" t="str">
        <f aca="false">IF(E678="","",IFERROR(INDEX(Товары!$D$4:$D$200,MATCH(E678,Товары!$B$4:$B$200,0)),0))</f>
        <v/>
      </c>
      <c r="H678" s="29"/>
      <c r="I678" s="32" t="str">
        <f aca="false">IF(OR(E678="",F678=""),"",F678*G678-N(H678))</f>
        <v/>
      </c>
      <c r="J678" s="29"/>
      <c r="K678" s="32" t="str">
        <f aca="false">IF(AND(I678="",N(J678)=0),"",N(I678)+N(J678))</f>
        <v/>
      </c>
      <c r="L678" s="32" t="str">
        <f aca="false">IF(OR(E678="",F678=""),"",F678*IFERROR(INDEX(Товары!$C$4:$C$200,MATCH(E678,Товары!$B$4:$B$200,0)),0))</f>
        <v/>
      </c>
      <c r="M678" s="32" t="str">
        <f aca="false">IF(I678="","",I678-L678)</f>
        <v/>
      </c>
      <c r="N678" s="28"/>
      <c r="O678" s="28"/>
      <c r="P678" s="28"/>
      <c r="Q678" s="28"/>
      <c r="R678" s="35"/>
      <c r="S678" s="28"/>
    </row>
    <row r="679" customFormat="false" ht="15" hidden="false" customHeight="false" outlineLevel="0" collapsed="false">
      <c r="A679" s="34" t="str">
        <f aca="false">IF(E679="","",ROW()-3)</f>
        <v/>
      </c>
      <c r="B679" s="35"/>
      <c r="C679" s="28"/>
      <c r="D679" s="28"/>
      <c r="E679" s="28"/>
      <c r="F679" s="28"/>
      <c r="G679" s="32" t="str">
        <f aca="false">IF(E679="","",IFERROR(INDEX(Товары!$D$4:$D$200,MATCH(E679,Товары!$B$4:$B$200,0)),0))</f>
        <v/>
      </c>
      <c r="H679" s="29"/>
      <c r="I679" s="32" t="str">
        <f aca="false">IF(OR(E679="",F679=""),"",F679*G679-N(H679))</f>
        <v/>
      </c>
      <c r="J679" s="29"/>
      <c r="K679" s="32" t="str">
        <f aca="false">IF(AND(I679="",N(J679)=0),"",N(I679)+N(J679))</f>
        <v/>
      </c>
      <c r="L679" s="32" t="str">
        <f aca="false">IF(OR(E679="",F679=""),"",F679*IFERROR(INDEX(Товары!$C$4:$C$200,MATCH(E679,Товары!$B$4:$B$200,0)),0))</f>
        <v/>
      </c>
      <c r="M679" s="32" t="str">
        <f aca="false">IF(I679="","",I679-L679)</f>
        <v/>
      </c>
      <c r="N679" s="28"/>
      <c r="O679" s="28"/>
      <c r="P679" s="28"/>
      <c r="Q679" s="28"/>
      <c r="R679" s="35"/>
      <c r="S679" s="28"/>
    </row>
    <row r="680" customFormat="false" ht="15" hidden="false" customHeight="false" outlineLevel="0" collapsed="false">
      <c r="A680" s="34" t="str">
        <f aca="false">IF(E680="","",ROW()-3)</f>
        <v/>
      </c>
      <c r="B680" s="35"/>
      <c r="C680" s="28"/>
      <c r="D680" s="28"/>
      <c r="E680" s="28"/>
      <c r="F680" s="28"/>
      <c r="G680" s="32" t="str">
        <f aca="false">IF(E680="","",IFERROR(INDEX(Товары!$D$4:$D$200,MATCH(E680,Товары!$B$4:$B$200,0)),0))</f>
        <v/>
      </c>
      <c r="H680" s="29"/>
      <c r="I680" s="32" t="str">
        <f aca="false">IF(OR(E680="",F680=""),"",F680*G680-N(H680))</f>
        <v/>
      </c>
      <c r="J680" s="29"/>
      <c r="K680" s="32" t="str">
        <f aca="false">IF(AND(I680="",N(J680)=0),"",N(I680)+N(J680))</f>
        <v/>
      </c>
      <c r="L680" s="32" t="str">
        <f aca="false">IF(OR(E680="",F680=""),"",F680*IFERROR(INDEX(Товары!$C$4:$C$200,MATCH(E680,Товары!$B$4:$B$200,0)),0))</f>
        <v/>
      </c>
      <c r="M680" s="32" t="str">
        <f aca="false">IF(I680="","",I680-L680)</f>
        <v/>
      </c>
      <c r="N680" s="28"/>
      <c r="O680" s="28"/>
      <c r="P680" s="28"/>
      <c r="Q680" s="28"/>
      <c r="R680" s="35"/>
      <c r="S680" s="28"/>
    </row>
    <row r="681" customFormat="false" ht="15" hidden="false" customHeight="false" outlineLevel="0" collapsed="false">
      <c r="A681" s="34" t="str">
        <f aca="false">IF(E681="","",ROW()-3)</f>
        <v/>
      </c>
      <c r="B681" s="35"/>
      <c r="C681" s="28"/>
      <c r="D681" s="28"/>
      <c r="E681" s="28"/>
      <c r="F681" s="28"/>
      <c r="G681" s="32" t="str">
        <f aca="false">IF(E681="","",IFERROR(INDEX(Товары!$D$4:$D$200,MATCH(E681,Товары!$B$4:$B$200,0)),0))</f>
        <v/>
      </c>
      <c r="H681" s="29"/>
      <c r="I681" s="32" t="str">
        <f aca="false">IF(OR(E681="",F681=""),"",F681*G681-N(H681))</f>
        <v/>
      </c>
      <c r="J681" s="29"/>
      <c r="K681" s="32" t="str">
        <f aca="false">IF(AND(I681="",N(J681)=0),"",N(I681)+N(J681))</f>
        <v/>
      </c>
      <c r="L681" s="32" t="str">
        <f aca="false">IF(OR(E681="",F681=""),"",F681*IFERROR(INDEX(Товары!$C$4:$C$200,MATCH(E681,Товары!$B$4:$B$200,0)),0))</f>
        <v/>
      </c>
      <c r="M681" s="32" t="str">
        <f aca="false">IF(I681="","",I681-L681)</f>
        <v/>
      </c>
      <c r="N681" s="28"/>
      <c r="O681" s="28"/>
      <c r="P681" s="28"/>
      <c r="Q681" s="28"/>
      <c r="R681" s="35"/>
      <c r="S681" s="28"/>
    </row>
    <row r="682" customFormat="false" ht="15" hidden="false" customHeight="false" outlineLevel="0" collapsed="false">
      <c r="A682" s="34" t="str">
        <f aca="false">IF(E682="","",ROW()-3)</f>
        <v/>
      </c>
      <c r="B682" s="35"/>
      <c r="C682" s="28"/>
      <c r="D682" s="28"/>
      <c r="E682" s="28"/>
      <c r="F682" s="28"/>
      <c r="G682" s="32" t="str">
        <f aca="false">IF(E682="","",IFERROR(INDEX(Товары!$D$4:$D$200,MATCH(E682,Товары!$B$4:$B$200,0)),0))</f>
        <v/>
      </c>
      <c r="H682" s="29"/>
      <c r="I682" s="32" t="str">
        <f aca="false">IF(OR(E682="",F682=""),"",F682*G682-N(H682))</f>
        <v/>
      </c>
      <c r="J682" s="29"/>
      <c r="K682" s="32" t="str">
        <f aca="false">IF(AND(I682="",N(J682)=0),"",N(I682)+N(J682))</f>
        <v/>
      </c>
      <c r="L682" s="32" t="str">
        <f aca="false">IF(OR(E682="",F682=""),"",F682*IFERROR(INDEX(Товары!$C$4:$C$200,MATCH(E682,Товары!$B$4:$B$200,0)),0))</f>
        <v/>
      </c>
      <c r="M682" s="32" t="str">
        <f aca="false">IF(I682="","",I682-L682)</f>
        <v/>
      </c>
      <c r="N682" s="28"/>
      <c r="O682" s="28"/>
      <c r="P682" s="28"/>
      <c r="Q682" s="28"/>
      <c r="R682" s="35"/>
      <c r="S682" s="28"/>
    </row>
    <row r="683" customFormat="false" ht="15" hidden="false" customHeight="false" outlineLevel="0" collapsed="false">
      <c r="A683" s="34" t="str">
        <f aca="false">IF(E683="","",ROW()-3)</f>
        <v/>
      </c>
      <c r="B683" s="35"/>
      <c r="C683" s="28"/>
      <c r="D683" s="28"/>
      <c r="E683" s="28"/>
      <c r="F683" s="28"/>
      <c r="G683" s="32" t="str">
        <f aca="false">IF(E683="","",IFERROR(INDEX(Товары!$D$4:$D$200,MATCH(E683,Товары!$B$4:$B$200,0)),0))</f>
        <v/>
      </c>
      <c r="H683" s="29"/>
      <c r="I683" s="32" t="str">
        <f aca="false">IF(OR(E683="",F683=""),"",F683*G683-N(H683))</f>
        <v/>
      </c>
      <c r="J683" s="29"/>
      <c r="K683" s="32" t="str">
        <f aca="false">IF(AND(I683="",N(J683)=0),"",N(I683)+N(J683))</f>
        <v/>
      </c>
      <c r="L683" s="32" t="str">
        <f aca="false">IF(OR(E683="",F683=""),"",F683*IFERROR(INDEX(Товары!$C$4:$C$200,MATCH(E683,Товары!$B$4:$B$200,0)),0))</f>
        <v/>
      </c>
      <c r="M683" s="32" t="str">
        <f aca="false">IF(I683="","",I683-L683)</f>
        <v/>
      </c>
      <c r="N683" s="28"/>
      <c r="O683" s="28"/>
      <c r="P683" s="28"/>
      <c r="Q683" s="28"/>
      <c r="R683" s="35"/>
      <c r="S683" s="28"/>
    </row>
    <row r="684" customFormat="false" ht="15" hidden="false" customHeight="false" outlineLevel="0" collapsed="false">
      <c r="A684" s="34" t="str">
        <f aca="false">IF(E684="","",ROW()-3)</f>
        <v/>
      </c>
      <c r="B684" s="35"/>
      <c r="C684" s="28"/>
      <c r="D684" s="28"/>
      <c r="E684" s="28"/>
      <c r="F684" s="28"/>
      <c r="G684" s="32" t="str">
        <f aca="false">IF(E684="","",IFERROR(INDEX(Товары!$D$4:$D$200,MATCH(E684,Товары!$B$4:$B$200,0)),0))</f>
        <v/>
      </c>
      <c r="H684" s="29"/>
      <c r="I684" s="32" t="str">
        <f aca="false">IF(OR(E684="",F684=""),"",F684*G684-N(H684))</f>
        <v/>
      </c>
      <c r="J684" s="29"/>
      <c r="K684" s="32" t="str">
        <f aca="false">IF(AND(I684="",N(J684)=0),"",N(I684)+N(J684))</f>
        <v/>
      </c>
      <c r="L684" s="32" t="str">
        <f aca="false">IF(OR(E684="",F684=""),"",F684*IFERROR(INDEX(Товары!$C$4:$C$200,MATCH(E684,Товары!$B$4:$B$200,0)),0))</f>
        <v/>
      </c>
      <c r="M684" s="32" t="str">
        <f aca="false">IF(I684="","",I684-L684)</f>
        <v/>
      </c>
      <c r="N684" s="28"/>
      <c r="O684" s="28"/>
      <c r="P684" s="28"/>
      <c r="Q684" s="28"/>
      <c r="R684" s="35"/>
      <c r="S684" s="28"/>
    </row>
    <row r="685" customFormat="false" ht="15" hidden="false" customHeight="false" outlineLevel="0" collapsed="false">
      <c r="A685" s="34" t="str">
        <f aca="false">IF(E685="","",ROW()-3)</f>
        <v/>
      </c>
      <c r="B685" s="35"/>
      <c r="C685" s="28"/>
      <c r="D685" s="28"/>
      <c r="E685" s="28"/>
      <c r="F685" s="28"/>
      <c r="G685" s="32" t="str">
        <f aca="false">IF(E685="","",IFERROR(INDEX(Товары!$D$4:$D$200,MATCH(E685,Товары!$B$4:$B$200,0)),0))</f>
        <v/>
      </c>
      <c r="H685" s="29"/>
      <c r="I685" s="32" t="str">
        <f aca="false">IF(OR(E685="",F685=""),"",F685*G685-N(H685))</f>
        <v/>
      </c>
      <c r="J685" s="29"/>
      <c r="K685" s="32" t="str">
        <f aca="false">IF(AND(I685="",N(J685)=0),"",N(I685)+N(J685))</f>
        <v/>
      </c>
      <c r="L685" s="32" t="str">
        <f aca="false">IF(OR(E685="",F685=""),"",F685*IFERROR(INDEX(Товары!$C$4:$C$200,MATCH(E685,Товары!$B$4:$B$200,0)),0))</f>
        <v/>
      </c>
      <c r="M685" s="32" t="str">
        <f aca="false">IF(I685="","",I685-L685)</f>
        <v/>
      </c>
      <c r="N685" s="28"/>
      <c r="O685" s="28"/>
      <c r="P685" s="28"/>
      <c r="Q685" s="28"/>
      <c r="R685" s="35"/>
      <c r="S685" s="28"/>
    </row>
    <row r="686" customFormat="false" ht="15" hidden="false" customHeight="false" outlineLevel="0" collapsed="false">
      <c r="A686" s="34" t="str">
        <f aca="false">IF(E686="","",ROW()-3)</f>
        <v/>
      </c>
      <c r="B686" s="35"/>
      <c r="C686" s="28"/>
      <c r="D686" s="28"/>
      <c r="E686" s="28"/>
      <c r="F686" s="28"/>
      <c r="G686" s="32" t="str">
        <f aca="false">IF(E686="","",IFERROR(INDEX(Товары!$D$4:$D$200,MATCH(E686,Товары!$B$4:$B$200,0)),0))</f>
        <v/>
      </c>
      <c r="H686" s="29"/>
      <c r="I686" s="32" t="str">
        <f aca="false">IF(OR(E686="",F686=""),"",F686*G686-N(H686))</f>
        <v/>
      </c>
      <c r="J686" s="29"/>
      <c r="K686" s="32" t="str">
        <f aca="false">IF(AND(I686="",N(J686)=0),"",N(I686)+N(J686))</f>
        <v/>
      </c>
      <c r="L686" s="32" t="str">
        <f aca="false">IF(OR(E686="",F686=""),"",F686*IFERROR(INDEX(Товары!$C$4:$C$200,MATCH(E686,Товары!$B$4:$B$200,0)),0))</f>
        <v/>
      </c>
      <c r="M686" s="32" t="str">
        <f aca="false">IF(I686="","",I686-L686)</f>
        <v/>
      </c>
      <c r="N686" s="28"/>
      <c r="O686" s="28"/>
      <c r="P686" s="28"/>
      <c r="Q686" s="28"/>
      <c r="R686" s="35"/>
      <c r="S686" s="28"/>
    </row>
    <row r="687" customFormat="false" ht="15" hidden="false" customHeight="false" outlineLevel="0" collapsed="false">
      <c r="A687" s="34" t="str">
        <f aca="false">IF(E687="","",ROW()-3)</f>
        <v/>
      </c>
      <c r="B687" s="35"/>
      <c r="C687" s="28"/>
      <c r="D687" s="28"/>
      <c r="E687" s="28"/>
      <c r="F687" s="28"/>
      <c r="G687" s="32" t="str">
        <f aca="false">IF(E687="","",IFERROR(INDEX(Товары!$D$4:$D$200,MATCH(E687,Товары!$B$4:$B$200,0)),0))</f>
        <v/>
      </c>
      <c r="H687" s="29"/>
      <c r="I687" s="32" t="str">
        <f aca="false">IF(OR(E687="",F687=""),"",F687*G687-N(H687))</f>
        <v/>
      </c>
      <c r="J687" s="29"/>
      <c r="K687" s="32" t="str">
        <f aca="false">IF(AND(I687="",N(J687)=0),"",N(I687)+N(J687))</f>
        <v/>
      </c>
      <c r="L687" s="32" t="str">
        <f aca="false">IF(OR(E687="",F687=""),"",F687*IFERROR(INDEX(Товары!$C$4:$C$200,MATCH(E687,Товары!$B$4:$B$200,0)),0))</f>
        <v/>
      </c>
      <c r="M687" s="32" t="str">
        <f aca="false">IF(I687="","",I687-L687)</f>
        <v/>
      </c>
      <c r="N687" s="28"/>
      <c r="O687" s="28"/>
      <c r="P687" s="28"/>
      <c r="Q687" s="28"/>
      <c r="R687" s="35"/>
      <c r="S687" s="28"/>
    </row>
    <row r="688" customFormat="false" ht="15" hidden="false" customHeight="false" outlineLevel="0" collapsed="false">
      <c r="A688" s="34" t="str">
        <f aca="false">IF(E688="","",ROW()-3)</f>
        <v/>
      </c>
      <c r="B688" s="35"/>
      <c r="C688" s="28"/>
      <c r="D688" s="28"/>
      <c r="E688" s="28"/>
      <c r="F688" s="28"/>
      <c r="G688" s="32" t="str">
        <f aca="false">IF(E688="","",IFERROR(INDEX(Товары!$D$4:$D$200,MATCH(E688,Товары!$B$4:$B$200,0)),0))</f>
        <v/>
      </c>
      <c r="H688" s="29"/>
      <c r="I688" s="32" t="str">
        <f aca="false">IF(OR(E688="",F688=""),"",F688*G688-N(H688))</f>
        <v/>
      </c>
      <c r="J688" s="29"/>
      <c r="K688" s="32" t="str">
        <f aca="false">IF(AND(I688="",N(J688)=0),"",N(I688)+N(J688))</f>
        <v/>
      </c>
      <c r="L688" s="32" t="str">
        <f aca="false">IF(OR(E688="",F688=""),"",F688*IFERROR(INDEX(Товары!$C$4:$C$200,MATCH(E688,Товары!$B$4:$B$200,0)),0))</f>
        <v/>
      </c>
      <c r="M688" s="32" t="str">
        <f aca="false">IF(I688="","",I688-L688)</f>
        <v/>
      </c>
      <c r="N688" s="28"/>
      <c r="O688" s="28"/>
      <c r="P688" s="28"/>
      <c r="Q688" s="28"/>
      <c r="R688" s="35"/>
      <c r="S688" s="28"/>
    </row>
    <row r="689" customFormat="false" ht="15" hidden="false" customHeight="false" outlineLevel="0" collapsed="false">
      <c r="A689" s="34" t="str">
        <f aca="false">IF(E689="","",ROW()-3)</f>
        <v/>
      </c>
      <c r="B689" s="35"/>
      <c r="C689" s="28"/>
      <c r="D689" s="28"/>
      <c r="E689" s="28"/>
      <c r="F689" s="28"/>
      <c r="G689" s="32" t="str">
        <f aca="false">IF(E689="","",IFERROR(INDEX(Товары!$D$4:$D$200,MATCH(E689,Товары!$B$4:$B$200,0)),0))</f>
        <v/>
      </c>
      <c r="H689" s="29"/>
      <c r="I689" s="32" t="str">
        <f aca="false">IF(OR(E689="",F689=""),"",F689*G689-N(H689))</f>
        <v/>
      </c>
      <c r="J689" s="29"/>
      <c r="K689" s="32" t="str">
        <f aca="false">IF(AND(I689="",N(J689)=0),"",N(I689)+N(J689))</f>
        <v/>
      </c>
      <c r="L689" s="32" t="str">
        <f aca="false">IF(OR(E689="",F689=""),"",F689*IFERROR(INDEX(Товары!$C$4:$C$200,MATCH(E689,Товары!$B$4:$B$200,0)),0))</f>
        <v/>
      </c>
      <c r="M689" s="32" t="str">
        <f aca="false">IF(I689="","",I689-L689)</f>
        <v/>
      </c>
      <c r="N689" s="28"/>
      <c r="O689" s="28"/>
      <c r="P689" s="28"/>
      <c r="Q689" s="28"/>
      <c r="R689" s="35"/>
      <c r="S689" s="28"/>
    </row>
    <row r="690" customFormat="false" ht="15" hidden="false" customHeight="false" outlineLevel="0" collapsed="false">
      <c r="A690" s="34" t="str">
        <f aca="false">IF(E690="","",ROW()-3)</f>
        <v/>
      </c>
      <c r="B690" s="35"/>
      <c r="C690" s="28"/>
      <c r="D690" s="28"/>
      <c r="E690" s="28"/>
      <c r="F690" s="28"/>
      <c r="G690" s="32" t="str">
        <f aca="false">IF(E690="","",IFERROR(INDEX(Товары!$D$4:$D$200,MATCH(E690,Товары!$B$4:$B$200,0)),0))</f>
        <v/>
      </c>
      <c r="H690" s="29"/>
      <c r="I690" s="32" t="str">
        <f aca="false">IF(OR(E690="",F690=""),"",F690*G690-N(H690))</f>
        <v/>
      </c>
      <c r="J690" s="29"/>
      <c r="K690" s="32" t="str">
        <f aca="false">IF(AND(I690="",N(J690)=0),"",N(I690)+N(J690))</f>
        <v/>
      </c>
      <c r="L690" s="32" t="str">
        <f aca="false">IF(OR(E690="",F690=""),"",F690*IFERROR(INDEX(Товары!$C$4:$C$200,MATCH(E690,Товары!$B$4:$B$200,0)),0))</f>
        <v/>
      </c>
      <c r="M690" s="32" t="str">
        <f aca="false">IF(I690="","",I690-L690)</f>
        <v/>
      </c>
      <c r="N690" s="28"/>
      <c r="O690" s="28"/>
      <c r="P690" s="28"/>
      <c r="Q690" s="28"/>
      <c r="R690" s="35"/>
      <c r="S690" s="28"/>
    </row>
    <row r="691" customFormat="false" ht="15" hidden="false" customHeight="false" outlineLevel="0" collapsed="false">
      <c r="A691" s="34" t="str">
        <f aca="false">IF(E691="","",ROW()-3)</f>
        <v/>
      </c>
      <c r="B691" s="35"/>
      <c r="C691" s="28"/>
      <c r="D691" s="28"/>
      <c r="E691" s="28"/>
      <c r="F691" s="28"/>
      <c r="G691" s="32" t="str">
        <f aca="false">IF(E691="","",IFERROR(INDEX(Товары!$D$4:$D$200,MATCH(E691,Товары!$B$4:$B$200,0)),0))</f>
        <v/>
      </c>
      <c r="H691" s="29"/>
      <c r="I691" s="32" t="str">
        <f aca="false">IF(OR(E691="",F691=""),"",F691*G691-N(H691))</f>
        <v/>
      </c>
      <c r="J691" s="29"/>
      <c r="K691" s="32" t="str">
        <f aca="false">IF(AND(I691="",N(J691)=0),"",N(I691)+N(J691))</f>
        <v/>
      </c>
      <c r="L691" s="32" t="str">
        <f aca="false">IF(OR(E691="",F691=""),"",F691*IFERROR(INDEX(Товары!$C$4:$C$200,MATCH(E691,Товары!$B$4:$B$200,0)),0))</f>
        <v/>
      </c>
      <c r="M691" s="32" t="str">
        <f aca="false">IF(I691="","",I691-L691)</f>
        <v/>
      </c>
      <c r="N691" s="28"/>
      <c r="O691" s="28"/>
      <c r="P691" s="28"/>
      <c r="Q691" s="28"/>
      <c r="R691" s="35"/>
      <c r="S691" s="28"/>
    </row>
    <row r="692" customFormat="false" ht="15" hidden="false" customHeight="false" outlineLevel="0" collapsed="false">
      <c r="A692" s="34" t="str">
        <f aca="false">IF(E692="","",ROW()-3)</f>
        <v/>
      </c>
      <c r="B692" s="35"/>
      <c r="C692" s="28"/>
      <c r="D692" s="28"/>
      <c r="E692" s="28"/>
      <c r="F692" s="28"/>
      <c r="G692" s="32" t="str">
        <f aca="false">IF(E692="","",IFERROR(INDEX(Товары!$D$4:$D$200,MATCH(E692,Товары!$B$4:$B$200,0)),0))</f>
        <v/>
      </c>
      <c r="H692" s="29"/>
      <c r="I692" s="32" t="str">
        <f aca="false">IF(OR(E692="",F692=""),"",F692*G692-N(H692))</f>
        <v/>
      </c>
      <c r="J692" s="29"/>
      <c r="K692" s="32" t="str">
        <f aca="false">IF(AND(I692="",N(J692)=0),"",N(I692)+N(J692))</f>
        <v/>
      </c>
      <c r="L692" s="32" t="str">
        <f aca="false">IF(OR(E692="",F692=""),"",F692*IFERROR(INDEX(Товары!$C$4:$C$200,MATCH(E692,Товары!$B$4:$B$200,0)),0))</f>
        <v/>
      </c>
      <c r="M692" s="32" t="str">
        <f aca="false">IF(I692="","",I692-L692)</f>
        <v/>
      </c>
      <c r="N692" s="28"/>
      <c r="O692" s="28"/>
      <c r="P692" s="28"/>
      <c r="Q692" s="28"/>
      <c r="R692" s="35"/>
      <c r="S692" s="28"/>
    </row>
    <row r="693" customFormat="false" ht="15" hidden="false" customHeight="false" outlineLevel="0" collapsed="false">
      <c r="A693" s="34" t="str">
        <f aca="false">IF(E693="","",ROW()-3)</f>
        <v/>
      </c>
      <c r="B693" s="35"/>
      <c r="C693" s="28"/>
      <c r="D693" s="28"/>
      <c r="E693" s="28"/>
      <c r="F693" s="28"/>
      <c r="G693" s="32" t="str">
        <f aca="false">IF(E693="","",IFERROR(INDEX(Товары!$D$4:$D$200,MATCH(E693,Товары!$B$4:$B$200,0)),0))</f>
        <v/>
      </c>
      <c r="H693" s="29"/>
      <c r="I693" s="32" t="str">
        <f aca="false">IF(OR(E693="",F693=""),"",F693*G693-N(H693))</f>
        <v/>
      </c>
      <c r="J693" s="29"/>
      <c r="K693" s="32" t="str">
        <f aca="false">IF(AND(I693="",N(J693)=0),"",N(I693)+N(J693))</f>
        <v/>
      </c>
      <c r="L693" s="32" t="str">
        <f aca="false">IF(OR(E693="",F693=""),"",F693*IFERROR(INDEX(Товары!$C$4:$C$200,MATCH(E693,Товары!$B$4:$B$200,0)),0))</f>
        <v/>
      </c>
      <c r="M693" s="32" t="str">
        <f aca="false">IF(I693="","",I693-L693)</f>
        <v/>
      </c>
      <c r="N693" s="28"/>
      <c r="O693" s="28"/>
      <c r="P693" s="28"/>
      <c r="Q693" s="28"/>
      <c r="R693" s="35"/>
      <c r="S693" s="28"/>
    </row>
    <row r="694" customFormat="false" ht="15" hidden="false" customHeight="false" outlineLevel="0" collapsed="false">
      <c r="A694" s="34" t="str">
        <f aca="false">IF(E694="","",ROW()-3)</f>
        <v/>
      </c>
      <c r="B694" s="35"/>
      <c r="C694" s="28"/>
      <c r="D694" s="28"/>
      <c r="E694" s="28"/>
      <c r="F694" s="28"/>
      <c r="G694" s="32" t="str">
        <f aca="false">IF(E694="","",IFERROR(INDEX(Товары!$D$4:$D$200,MATCH(E694,Товары!$B$4:$B$200,0)),0))</f>
        <v/>
      </c>
      <c r="H694" s="29"/>
      <c r="I694" s="32" t="str">
        <f aca="false">IF(OR(E694="",F694=""),"",F694*G694-N(H694))</f>
        <v/>
      </c>
      <c r="J694" s="29"/>
      <c r="K694" s="32" t="str">
        <f aca="false">IF(AND(I694="",N(J694)=0),"",N(I694)+N(J694))</f>
        <v/>
      </c>
      <c r="L694" s="32" t="str">
        <f aca="false">IF(OR(E694="",F694=""),"",F694*IFERROR(INDEX(Товары!$C$4:$C$200,MATCH(E694,Товары!$B$4:$B$200,0)),0))</f>
        <v/>
      </c>
      <c r="M694" s="32" t="str">
        <f aca="false">IF(I694="","",I694-L694)</f>
        <v/>
      </c>
      <c r="N694" s="28"/>
      <c r="O694" s="28"/>
      <c r="P694" s="28"/>
      <c r="Q694" s="28"/>
      <c r="R694" s="35"/>
      <c r="S694" s="28"/>
    </row>
    <row r="695" customFormat="false" ht="15" hidden="false" customHeight="false" outlineLevel="0" collapsed="false">
      <c r="A695" s="34" t="str">
        <f aca="false">IF(E695="","",ROW()-3)</f>
        <v/>
      </c>
      <c r="B695" s="35"/>
      <c r="C695" s="28"/>
      <c r="D695" s="28"/>
      <c r="E695" s="28"/>
      <c r="F695" s="28"/>
      <c r="G695" s="32" t="str">
        <f aca="false">IF(E695="","",IFERROR(INDEX(Товары!$D$4:$D$200,MATCH(E695,Товары!$B$4:$B$200,0)),0))</f>
        <v/>
      </c>
      <c r="H695" s="29"/>
      <c r="I695" s="32" t="str">
        <f aca="false">IF(OR(E695="",F695=""),"",F695*G695-N(H695))</f>
        <v/>
      </c>
      <c r="J695" s="29"/>
      <c r="K695" s="32" t="str">
        <f aca="false">IF(AND(I695="",N(J695)=0),"",N(I695)+N(J695))</f>
        <v/>
      </c>
      <c r="L695" s="32" t="str">
        <f aca="false">IF(OR(E695="",F695=""),"",F695*IFERROR(INDEX(Товары!$C$4:$C$200,MATCH(E695,Товары!$B$4:$B$200,0)),0))</f>
        <v/>
      </c>
      <c r="M695" s="32" t="str">
        <f aca="false">IF(I695="","",I695-L695)</f>
        <v/>
      </c>
      <c r="N695" s="28"/>
      <c r="O695" s="28"/>
      <c r="P695" s="28"/>
      <c r="Q695" s="28"/>
      <c r="R695" s="35"/>
      <c r="S695" s="28"/>
    </row>
    <row r="696" customFormat="false" ht="15" hidden="false" customHeight="false" outlineLevel="0" collapsed="false">
      <c r="A696" s="34" t="str">
        <f aca="false">IF(E696="","",ROW()-3)</f>
        <v/>
      </c>
      <c r="B696" s="35"/>
      <c r="C696" s="28"/>
      <c r="D696" s="28"/>
      <c r="E696" s="28"/>
      <c r="F696" s="28"/>
      <c r="G696" s="32" t="str">
        <f aca="false">IF(E696="","",IFERROR(INDEX(Товары!$D$4:$D$200,MATCH(E696,Товары!$B$4:$B$200,0)),0))</f>
        <v/>
      </c>
      <c r="H696" s="29"/>
      <c r="I696" s="32" t="str">
        <f aca="false">IF(OR(E696="",F696=""),"",F696*G696-N(H696))</f>
        <v/>
      </c>
      <c r="J696" s="29"/>
      <c r="K696" s="32" t="str">
        <f aca="false">IF(AND(I696="",N(J696)=0),"",N(I696)+N(J696))</f>
        <v/>
      </c>
      <c r="L696" s="32" t="str">
        <f aca="false">IF(OR(E696="",F696=""),"",F696*IFERROR(INDEX(Товары!$C$4:$C$200,MATCH(E696,Товары!$B$4:$B$200,0)),0))</f>
        <v/>
      </c>
      <c r="M696" s="32" t="str">
        <f aca="false">IF(I696="","",I696-L696)</f>
        <v/>
      </c>
      <c r="N696" s="28"/>
      <c r="O696" s="28"/>
      <c r="P696" s="28"/>
      <c r="Q696" s="28"/>
      <c r="R696" s="35"/>
      <c r="S696" s="28"/>
    </row>
    <row r="697" customFormat="false" ht="15" hidden="false" customHeight="false" outlineLevel="0" collapsed="false">
      <c r="A697" s="34" t="str">
        <f aca="false">IF(E697="","",ROW()-3)</f>
        <v/>
      </c>
      <c r="B697" s="35"/>
      <c r="C697" s="28"/>
      <c r="D697" s="28"/>
      <c r="E697" s="28"/>
      <c r="F697" s="28"/>
      <c r="G697" s="32" t="str">
        <f aca="false">IF(E697="","",IFERROR(INDEX(Товары!$D$4:$D$200,MATCH(E697,Товары!$B$4:$B$200,0)),0))</f>
        <v/>
      </c>
      <c r="H697" s="29"/>
      <c r="I697" s="32" t="str">
        <f aca="false">IF(OR(E697="",F697=""),"",F697*G697-N(H697))</f>
        <v/>
      </c>
      <c r="J697" s="29"/>
      <c r="K697" s="32" t="str">
        <f aca="false">IF(AND(I697="",N(J697)=0),"",N(I697)+N(J697))</f>
        <v/>
      </c>
      <c r="L697" s="32" t="str">
        <f aca="false">IF(OR(E697="",F697=""),"",F697*IFERROR(INDEX(Товары!$C$4:$C$200,MATCH(E697,Товары!$B$4:$B$200,0)),0))</f>
        <v/>
      </c>
      <c r="M697" s="32" t="str">
        <f aca="false">IF(I697="","",I697-L697)</f>
        <v/>
      </c>
      <c r="N697" s="28"/>
      <c r="O697" s="28"/>
      <c r="P697" s="28"/>
      <c r="Q697" s="28"/>
      <c r="R697" s="35"/>
      <c r="S697" s="28"/>
    </row>
    <row r="698" customFormat="false" ht="15" hidden="false" customHeight="false" outlineLevel="0" collapsed="false">
      <c r="A698" s="34" t="str">
        <f aca="false">IF(E698="","",ROW()-3)</f>
        <v/>
      </c>
      <c r="B698" s="35"/>
      <c r="C698" s="28"/>
      <c r="D698" s="28"/>
      <c r="E698" s="28"/>
      <c r="F698" s="28"/>
      <c r="G698" s="32" t="str">
        <f aca="false">IF(E698="","",IFERROR(INDEX(Товары!$D$4:$D$200,MATCH(E698,Товары!$B$4:$B$200,0)),0))</f>
        <v/>
      </c>
      <c r="H698" s="29"/>
      <c r="I698" s="32" t="str">
        <f aca="false">IF(OR(E698="",F698=""),"",F698*G698-N(H698))</f>
        <v/>
      </c>
      <c r="J698" s="29"/>
      <c r="K698" s="32" t="str">
        <f aca="false">IF(AND(I698="",N(J698)=0),"",N(I698)+N(J698))</f>
        <v/>
      </c>
      <c r="L698" s="32" t="str">
        <f aca="false">IF(OR(E698="",F698=""),"",F698*IFERROR(INDEX(Товары!$C$4:$C$200,MATCH(E698,Товары!$B$4:$B$200,0)),0))</f>
        <v/>
      </c>
      <c r="M698" s="32" t="str">
        <f aca="false">IF(I698="","",I698-L698)</f>
        <v/>
      </c>
      <c r="N698" s="28"/>
      <c r="O698" s="28"/>
      <c r="P698" s="28"/>
      <c r="Q698" s="28"/>
      <c r="R698" s="35"/>
      <c r="S698" s="28"/>
    </row>
    <row r="699" customFormat="false" ht="15" hidden="false" customHeight="false" outlineLevel="0" collapsed="false">
      <c r="A699" s="34" t="str">
        <f aca="false">IF(E699="","",ROW()-3)</f>
        <v/>
      </c>
      <c r="B699" s="35"/>
      <c r="C699" s="28"/>
      <c r="D699" s="28"/>
      <c r="E699" s="28"/>
      <c r="F699" s="28"/>
      <c r="G699" s="32" t="str">
        <f aca="false">IF(E699="","",IFERROR(INDEX(Товары!$D$4:$D$200,MATCH(E699,Товары!$B$4:$B$200,0)),0))</f>
        <v/>
      </c>
      <c r="H699" s="29"/>
      <c r="I699" s="32" t="str">
        <f aca="false">IF(OR(E699="",F699=""),"",F699*G699-N(H699))</f>
        <v/>
      </c>
      <c r="J699" s="29"/>
      <c r="K699" s="32" t="str">
        <f aca="false">IF(AND(I699="",N(J699)=0),"",N(I699)+N(J699))</f>
        <v/>
      </c>
      <c r="L699" s="32" t="str">
        <f aca="false">IF(OR(E699="",F699=""),"",F699*IFERROR(INDEX(Товары!$C$4:$C$200,MATCH(E699,Товары!$B$4:$B$200,0)),0))</f>
        <v/>
      </c>
      <c r="M699" s="32" t="str">
        <f aca="false">IF(I699="","",I699-L699)</f>
        <v/>
      </c>
      <c r="N699" s="28"/>
      <c r="O699" s="28"/>
      <c r="P699" s="28"/>
      <c r="Q699" s="28"/>
      <c r="R699" s="35"/>
      <c r="S699" s="28"/>
    </row>
    <row r="700" customFormat="false" ht="15" hidden="false" customHeight="false" outlineLevel="0" collapsed="false">
      <c r="A700" s="34" t="str">
        <f aca="false">IF(E700="","",ROW()-3)</f>
        <v/>
      </c>
      <c r="B700" s="35"/>
      <c r="C700" s="28"/>
      <c r="D700" s="28"/>
      <c r="E700" s="28"/>
      <c r="F700" s="28"/>
      <c r="G700" s="32" t="str">
        <f aca="false">IF(E700="","",IFERROR(INDEX(Товары!$D$4:$D$200,MATCH(E700,Товары!$B$4:$B$200,0)),0))</f>
        <v/>
      </c>
      <c r="H700" s="29"/>
      <c r="I700" s="32" t="str">
        <f aca="false">IF(OR(E700="",F700=""),"",F700*G700-N(H700))</f>
        <v/>
      </c>
      <c r="J700" s="29"/>
      <c r="K700" s="32" t="str">
        <f aca="false">IF(AND(I700="",N(J700)=0),"",N(I700)+N(J700))</f>
        <v/>
      </c>
      <c r="L700" s="32" t="str">
        <f aca="false">IF(OR(E700="",F700=""),"",F700*IFERROR(INDEX(Товары!$C$4:$C$200,MATCH(E700,Товары!$B$4:$B$200,0)),0))</f>
        <v/>
      </c>
      <c r="M700" s="32" t="str">
        <f aca="false">IF(I700="","",I700-L700)</f>
        <v/>
      </c>
      <c r="N700" s="28"/>
      <c r="O700" s="28"/>
      <c r="P700" s="28"/>
      <c r="Q700" s="28"/>
      <c r="R700" s="35"/>
      <c r="S700" s="28"/>
    </row>
    <row r="701" customFormat="false" ht="15" hidden="false" customHeight="false" outlineLevel="0" collapsed="false">
      <c r="A701" s="34" t="str">
        <f aca="false">IF(E701="","",ROW()-3)</f>
        <v/>
      </c>
      <c r="B701" s="35"/>
      <c r="C701" s="28"/>
      <c r="D701" s="28"/>
      <c r="E701" s="28"/>
      <c r="F701" s="28"/>
      <c r="G701" s="32" t="str">
        <f aca="false">IF(E701="","",IFERROR(INDEX(Товары!$D$4:$D$200,MATCH(E701,Товары!$B$4:$B$200,0)),0))</f>
        <v/>
      </c>
      <c r="H701" s="29"/>
      <c r="I701" s="32" t="str">
        <f aca="false">IF(OR(E701="",F701=""),"",F701*G701-N(H701))</f>
        <v/>
      </c>
      <c r="J701" s="29"/>
      <c r="K701" s="32" t="str">
        <f aca="false">IF(AND(I701="",N(J701)=0),"",N(I701)+N(J701))</f>
        <v/>
      </c>
      <c r="L701" s="32" t="str">
        <f aca="false">IF(OR(E701="",F701=""),"",F701*IFERROR(INDEX(Товары!$C$4:$C$200,MATCH(E701,Товары!$B$4:$B$200,0)),0))</f>
        <v/>
      </c>
      <c r="M701" s="32" t="str">
        <f aca="false">IF(I701="","",I701-L701)</f>
        <v/>
      </c>
      <c r="N701" s="28"/>
      <c r="O701" s="28"/>
      <c r="P701" s="28"/>
      <c r="Q701" s="28"/>
      <c r="R701" s="35"/>
      <c r="S701" s="28"/>
    </row>
    <row r="702" customFormat="false" ht="15" hidden="false" customHeight="false" outlineLevel="0" collapsed="false">
      <c r="A702" s="34" t="str">
        <f aca="false">IF(E702="","",ROW()-3)</f>
        <v/>
      </c>
      <c r="B702" s="35"/>
      <c r="C702" s="28"/>
      <c r="D702" s="28"/>
      <c r="E702" s="28"/>
      <c r="F702" s="28"/>
      <c r="G702" s="32" t="str">
        <f aca="false">IF(E702="","",IFERROR(INDEX(Товары!$D$4:$D$200,MATCH(E702,Товары!$B$4:$B$200,0)),0))</f>
        <v/>
      </c>
      <c r="H702" s="29"/>
      <c r="I702" s="32" t="str">
        <f aca="false">IF(OR(E702="",F702=""),"",F702*G702-N(H702))</f>
        <v/>
      </c>
      <c r="J702" s="29"/>
      <c r="K702" s="32" t="str">
        <f aca="false">IF(AND(I702="",N(J702)=0),"",N(I702)+N(J702))</f>
        <v/>
      </c>
      <c r="L702" s="32" t="str">
        <f aca="false">IF(OR(E702="",F702=""),"",F702*IFERROR(INDEX(Товары!$C$4:$C$200,MATCH(E702,Товары!$B$4:$B$200,0)),0))</f>
        <v/>
      </c>
      <c r="M702" s="32" t="str">
        <f aca="false">IF(I702="","",I702-L702)</f>
        <v/>
      </c>
      <c r="N702" s="28"/>
      <c r="O702" s="28"/>
      <c r="P702" s="28"/>
      <c r="Q702" s="28"/>
      <c r="R702" s="35"/>
      <c r="S702" s="28"/>
    </row>
    <row r="703" customFormat="false" ht="15" hidden="false" customHeight="false" outlineLevel="0" collapsed="false">
      <c r="A703" s="34" t="str">
        <f aca="false">IF(E703="","",ROW()-3)</f>
        <v/>
      </c>
      <c r="B703" s="35"/>
      <c r="C703" s="28"/>
      <c r="D703" s="28"/>
      <c r="E703" s="28"/>
      <c r="F703" s="28"/>
      <c r="G703" s="32" t="str">
        <f aca="false">IF(E703="","",IFERROR(INDEX(Товары!$D$4:$D$200,MATCH(E703,Товары!$B$4:$B$200,0)),0))</f>
        <v/>
      </c>
      <c r="H703" s="29"/>
      <c r="I703" s="32" t="str">
        <f aca="false">IF(OR(E703="",F703=""),"",F703*G703-N(H703))</f>
        <v/>
      </c>
      <c r="J703" s="29"/>
      <c r="K703" s="32" t="str">
        <f aca="false">IF(AND(I703="",N(J703)=0),"",N(I703)+N(J703))</f>
        <v/>
      </c>
      <c r="L703" s="32" t="str">
        <f aca="false">IF(OR(E703="",F703=""),"",F703*IFERROR(INDEX(Товары!$C$4:$C$200,MATCH(E703,Товары!$B$4:$B$200,0)),0))</f>
        <v/>
      </c>
      <c r="M703" s="32" t="str">
        <f aca="false">IF(I703="","",I703-L703)</f>
        <v/>
      </c>
      <c r="N703" s="28"/>
      <c r="O703" s="28"/>
      <c r="P703" s="28"/>
      <c r="Q703" s="28"/>
      <c r="R703" s="35"/>
      <c r="S703" s="28"/>
    </row>
    <row r="704" customFormat="false" ht="15" hidden="false" customHeight="false" outlineLevel="0" collapsed="false">
      <c r="A704" s="34" t="str">
        <f aca="false">IF(E704="","",ROW()-3)</f>
        <v/>
      </c>
      <c r="B704" s="35"/>
      <c r="C704" s="28"/>
      <c r="D704" s="28"/>
      <c r="E704" s="28"/>
      <c r="F704" s="28"/>
      <c r="G704" s="32" t="str">
        <f aca="false">IF(E704="","",IFERROR(INDEX(Товары!$D$4:$D$200,MATCH(E704,Товары!$B$4:$B$200,0)),0))</f>
        <v/>
      </c>
      <c r="H704" s="29"/>
      <c r="I704" s="32" t="str">
        <f aca="false">IF(OR(E704="",F704=""),"",F704*G704-N(H704))</f>
        <v/>
      </c>
      <c r="J704" s="29"/>
      <c r="K704" s="32" t="str">
        <f aca="false">IF(AND(I704="",N(J704)=0),"",N(I704)+N(J704))</f>
        <v/>
      </c>
      <c r="L704" s="32" t="str">
        <f aca="false">IF(OR(E704="",F704=""),"",F704*IFERROR(INDEX(Товары!$C$4:$C$200,MATCH(E704,Товары!$B$4:$B$200,0)),0))</f>
        <v/>
      </c>
      <c r="M704" s="32" t="str">
        <f aca="false">IF(I704="","",I704-L704)</f>
        <v/>
      </c>
      <c r="N704" s="28"/>
      <c r="O704" s="28"/>
      <c r="P704" s="28"/>
      <c r="Q704" s="28"/>
      <c r="R704" s="35"/>
      <c r="S704" s="28"/>
    </row>
    <row r="705" customFormat="false" ht="15" hidden="false" customHeight="false" outlineLevel="0" collapsed="false">
      <c r="A705" s="34" t="str">
        <f aca="false">IF(E705="","",ROW()-3)</f>
        <v/>
      </c>
      <c r="B705" s="35"/>
      <c r="C705" s="28"/>
      <c r="D705" s="28"/>
      <c r="E705" s="28"/>
      <c r="F705" s="28"/>
      <c r="G705" s="32" t="str">
        <f aca="false">IF(E705="","",IFERROR(INDEX(Товары!$D$4:$D$200,MATCH(E705,Товары!$B$4:$B$200,0)),0))</f>
        <v/>
      </c>
      <c r="H705" s="29"/>
      <c r="I705" s="32" t="str">
        <f aca="false">IF(OR(E705="",F705=""),"",F705*G705-N(H705))</f>
        <v/>
      </c>
      <c r="J705" s="29"/>
      <c r="K705" s="32" t="str">
        <f aca="false">IF(AND(I705="",N(J705)=0),"",N(I705)+N(J705))</f>
        <v/>
      </c>
      <c r="L705" s="32" t="str">
        <f aca="false">IF(OR(E705="",F705=""),"",F705*IFERROR(INDEX(Товары!$C$4:$C$200,MATCH(E705,Товары!$B$4:$B$200,0)),0))</f>
        <v/>
      </c>
      <c r="M705" s="32" t="str">
        <f aca="false">IF(I705="","",I705-L705)</f>
        <v/>
      </c>
      <c r="N705" s="28"/>
      <c r="O705" s="28"/>
      <c r="P705" s="28"/>
      <c r="Q705" s="28"/>
      <c r="R705" s="35"/>
      <c r="S705" s="28"/>
    </row>
    <row r="706" customFormat="false" ht="15" hidden="false" customHeight="false" outlineLevel="0" collapsed="false">
      <c r="A706" s="34" t="str">
        <f aca="false">IF(E706="","",ROW()-3)</f>
        <v/>
      </c>
      <c r="B706" s="35"/>
      <c r="C706" s="28"/>
      <c r="D706" s="28"/>
      <c r="E706" s="28"/>
      <c r="F706" s="28"/>
      <c r="G706" s="32" t="str">
        <f aca="false">IF(E706="","",IFERROR(INDEX(Товары!$D$4:$D$200,MATCH(E706,Товары!$B$4:$B$200,0)),0))</f>
        <v/>
      </c>
      <c r="H706" s="29"/>
      <c r="I706" s="32" t="str">
        <f aca="false">IF(OR(E706="",F706=""),"",F706*G706-N(H706))</f>
        <v/>
      </c>
      <c r="J706" s="29"/>
      <c r="K706" s="32" t="str">
        <f aca="false">IF(AND(I706="",N(J706)=0),"",N(I706)+N(J706))</f>
        <v/>
      </c>
      <c r="L706" s="32" t="str">
        <f aca="false">IF(OR(E706="",F706=""),"",F706*IFERROR(INDEX(Товары!$C$4:$C$200,MATCH(E706,Товары!$B$4:$B$200,0)),0))</f>
        <v/>
      </c>
      <c r="M706" s="32" t="str">
        <f aca="false">IF(I706="","",I706-L706)</f>
        <v/>
      </c>
      <c r="N706" s="28"/>
      <c r="O706" s="28"/>
      <c r="P706" s="28"/>
      <c r="Q706" s="28"/>
      <c r="R706" s="35"/>
      <c r="S706" s="28"/>
    </row>
    <row r="707" customFormat="false" ht="15" hidden="false" customHeight="false" outlineLevel="0" collapsed="false">
      <c r="A707" s="34" t="str">
        <f aca="false">IF(E707="","",ROW()-3)</f>
        <v/>
      </c>
      <c r="B707" s="35"/>
      <c r="C707" s="28"/>
      <c r="D707" s="28"/>
      <c r="E707" s="28"/>
      <c r="F707" s="28"/>
      <c r="G707" s="32" t="str">
        <f aca="false">IF(E707="","",IFERROR(INDEX(Товары!$D$4:$D$200,MATCH(E707,Товары!$B$4:$B$200,0)),0))</f>
        <v/>
      </c>
      <c r="H707" s="29"/>
      <c r="I707" s="32" t="str">
        <f aca="false">IF(OR(E707="",F707=""),"",F707*G707-N(H707))</f>
        <v/>
      </c>
      <c r="J707" s="29"/>
      <c r="K707" s="32" t="str">
        <f aca="false">IF(AND(I707="",N(J707)=0),"",N(I707)+N(J707))</f>
        <v/>
      </c>
      <c r="L707" s="32" t="str">
        <f aca="false">IF(OR(E707="",F707=""),"",F707*IFERROR(INDEX(Товары!$C$4:$C$200,MATCH(E707,Товары!$B$4:$B$200,0)),0))</f>
        <v/>
      </c>
      <c r="M707" s="32" t="str">
        <f aca="false">IF(I707="","",I707-L707)</f>
        <v/>
      </c>
      <c r="N707" s="28"/>
      <c r="O707" s="28"/>
      <c r="P707" s="28"/>
      <c r="Q707" s="28"/>
      <c r="R707" s="35"/>
      <c r="S707" s="28"/>
    </row>
    <row r="708" customFormat="false" ht="15" hidden="false" customHeight="false" outlineLevel="0" collapsed="false">
      <c r="A708" s="34" t="str">
        <f aca="false">IF(E708="","",ROW()-3)</f>
        <v/>
      </c>
      <c r="B708" s="35"/>
      <c r="C708" s="28"/>
      <c r="D708" s="28"/>
      <c r="E708" s="28"/>
      <c r="F708" s="28"/>
      <c r="G708" s="32" t="str">
        <f aca="false">IF(E708="","",IFERROR(INDEX(Товары!$D$4:$D$200,MATCH(E708,Товары!$B$4:$B$200,0)),0))</f>
        <v/>
      </c>
      <c r="H708" s="29"/>
      <c r="I708" s="32" t="str">
        <f aca="false">IF(OR(E708="",F708=""),"",F708*G708-N(H708))</f>
        <v/>
      </c>
      <c r="J708" s="29"/>
      <c r="K708" s="32" t="str">
        <f aca="false">IF(AND(I708="",N(J708)=0),"",N(I708)+N(J708))</f>
        <v/>
      </c>
      <c r="L708" s="32" t="str">
        <f aca="false">IF(OR(E708="",F708=""),"",F708*IFERROR(INDEX(Товары!$C$4:$C$200,MATCH(E708,Товары!$B$4:$B$200,0)),0))</f>
        <v/>
      </c>
      <c r="M708" s="32" t="str">
        <f aca="false">IF(I708="","",I708-L708)</f>
        <v/>
      </c>
      <c r="N708" s="28"/>
      <c r="O708" s="28"/>
      <c r="P708" s="28"/>
      <c r="Q708" s="28"/>
      <c r="R708" s="35"/>
      <c r="S708" s="28"/>
    </row>
    <row r="709" customFormat="false" ht="15" hidden="false" customHeight="false" outlineLevel="0" collapsed="false">
      <c r="A709" s="34" t="str">
        <f aca="false">IF(E709="","",ROW()-3)</f>
        <v/>
      </c>
      <c r="B709" s="35"/>
      <c r="C709" s="28"/>
      <c r="D709" s="28"/>
      <c r="E709" s="28"/>
      <c r="F709" s="28"/>
      <c r="G709" s="32" t="str">
        <f aca="false">IF(E709="","",IFERROR(INDEX(Товары!$D$4:$D$200,MATCH(E709,Товары!$B$4:$B$200,0)),0))</f>
        <v/>
      </c>
      <c r="H709" s="29"/>
      <c r="I709" s="32" t="str">
        <f aca="false">IF(OR(E709="",F709=""),"",F709*G709-N(H709))</f>
        <v/>
      </c>
      <c r="J709" s="29"/>
      <c r="K709" s="32" t="str">
        <f aca="false">IF(AND(I709="",N(J709)=0),"",N(I709)+N(J709))</f>
        <v/>
      </c>
      <c r="L709" s="32" t="str">
        <f aca="false">IF(OR(E709="",F709=""),"",F709*IFERROR(INDEX(Товары!$C$4:$C$200,MATCH(E709,Товары!$B$4:$B$200,0)),0))</f>
        <v/>
      </c>
      <c r="M709" s="32" t="str">
        <f aca="false">IF(I709="","",I709-L709)</f>
        <v/>
      </c>
      <c r="N709" s="28"/>
      <c r="O709" s="28"/>
      <c r="P709" s="28"/>
      <c r="Q709" s="28"/>
      <c r="R709" s="35"/>
      <c r="S709" s="28"/>
    </row>
    <row r="710" customFormat="false" ht="15" hidden="false" customHeight="false" outlineLevel="0" collapsed="false">
      <c r="A710" s="34" t="str">
        <f aca="false">IF(E710="","",ROW()-3)</f>
        <v/>
      </c>
      <c r="B710" s="35"/>
      <c r="C710" s="28"/>
      <c r="D710" s="28"/>
      <c r="E710" s="28"/>
      <c r="F710" s="28"/>
      <c r="G710" s="32" t="str">
        <f aca="false">IF(E710="","",IFERROR(INDEX(Товары!$D$4:$D$200,MATCH(E710,Товары!$B$4:$B$200,0)),0))</f>
        <v/>
      </c>
      <c r="H710" s="29"/>
      <c r="I710" s="32" t="str">
        <f aca="false">IF(OR(E710="",F710=""),"",F710*G710-N(H710))</f>
        <v/>
      </c>
      <c r="J710" s="29"/>
      <c r="K710" s="32" t="str">
        <f aca="false">IF(AND(I710="",N(J710)=0),"",N(I710)+N(J710))</f>
        <v/>
      </c>
      <c r="L710" s="32" t="str">
        <f aca="false">IF(OR(E710="",F710=""),"",F710*IFERROR(INDEX(Товары!$C$4:$C$200,MATCH(E710,Товары!$B$4:$B$200,0)),0))</f>
        <v/>
      </c>
      <c r="M710" s="32" t="str">
        <f aca="false">IF(I710="","",I710-L710)</f>
        <v/>
      </c>
      <c r="N710" s="28"/>
      <c r="O710" s="28"/>
      <c r="P710" s="28"/>
      <c r="Q710" s="28"/>
      <c r="R710" s="35"/>
      <c r="S710" s="28"/>
    </row>
    <row r="711" customFormat="false" ht="15" hidden="false" customHeight="false" outlineLevel="0" collapsed="false">
      <c r="A711" s="34" t="str">
        <f aca="false">IF(E711="","",ROW()-3)</f>
        <v/>
      </c>
      <c r="B711" s="35"/>
      <c r="C711" s="28"/>
      <c r="D711" s="28"/>
      <c r="E711" s="28"/>
      <c r="F711" s="28"/>
      <c r="G711" s="32" t="str">
        <f aca="false">IF(E711="","",IFERROR(INDEX(Товары!$D$4:$D$200,MATCH(E711,Товары!$B$4:$B$200,0)),0))</f>
        <v/>
      </c>
      <c r="H711" s="29"/>
      <c r="I711" s="32" t="str">
        <f aca="false">IF(OR(E711="",F711=""),"",F711*G711-N(H711))</f>
        <v/>
      </c>
      <c r="J711" s="29"/>
      <c r="K711" s="32" t="str">
        <f aca="false">IF(AND(I711="",N(J711)=0),"",N(I711)+N(J711))</f>
        <v/>
      </c>
      <c r="L711" s="32" t="str">
        <f aca="false">IF(OR(E711="",F711=""),"",F711*IFERROR(INDEX(Товары!$C$4:$C$200,MATCH(E711,Товары!$B$4:$B$200,0)),0))</f>
        <v/>
      </c>
      <c r="M711" s="32" t="str">
        <f aca="false">IF(I711="","",I711-L711)</f>
        <v/>
      </c>
      <c r="N711" s="28"/>
      <c r="O711" s="28"/>
      <c r="P711" s="28"/>
      <c r="Q711" s="28"/>
      <c r="R711" s="35"/>
      <c r="S711" s="28"/>
    </row>
    <row r="712" customFormat="false" ht="15" hidden="false" customHeight="false" outlineLevel="0" collapsed="false">
      <c r="A712" s="34" t="str">
        <f aca="false">IF(E712="","",ROW()-3)</f>
        <v/>
      </c>
      <c r="B712" s="35"/>
      <c r="C712" s="28"/>
      <c r="D712" s="28"/>
      <c r="E712" s="28"/>
      <c r="F712" s="28"/>
      <c r="G712" s="32" t="str">
        <f aca="false">IF(E712="","",IFERROR(INDEX(Товары!$D$4:$D$200,MATCH(E712,Товары!$B$4:$B$200,0)),0))</f>
        <v/>
      </c>
      <c r="H712" s="29"/>
      <c r="I712" s="32" t="str">
        <f aca="false">IF(OR(E712="",F712=""),"",F712*G712-N(H712))</f>
        <v/>
      </c>
      <c r="J712" s="29"/>
      <c r="K712" s="32" t="str">
        <f aca="false">IF(AND(I712="",N(J712)=0),"",N(I712)+N(J712))</f>
        <v/>
      </c>
      <c r="L712" s="32" t="str">
        <f aca="false">IF(OR(E712="",F712=""),"",F712*IFERROR(INDEX(Товары!$C$4:$C$200,MATCH(E712,Товары!$B$4:$B$200,0)),0))</f>
        <v/>
      </c>
      <c r="M712" s="32" t="str">
        <f aca="false">IF(I712="","",I712-L712)</f>
        <v/>
      </c>
      <c r="N712" s="28"/>
      <c r="O712" s="28"/>
      <c r="P712" s="28"/>
      <c r="Q712" s="28"/>
      <c r="R712" s="35"/>
      <c r="S712" s="28"/>
    </row>
    <row r="713" customFormat="false" ht="15" hidden="false" customHeight="false" outlineLevel="0" collapsed="false">
      <c r="A713" s="34" t="str">
        <f aca="false">IF(E713="","",ROW()-3)</f>
        <v/>
      </c>
      <c r="B713" s="35"/>
      <c r="C713" s="28"/>
      <c r="D713" s="28"/>
      <c r="E713" s="28"/>
      <c r="F713" s="28"/>
      <c r="G713" s="32" t="str">
        <f aca="false">IF(E713="","",IFERROR(INDEX(Товары!$D$4:$D$200,MATCH(E713,Товары!$B$4:$B$200,0)),0))</f>
        <v/>
      </c>
      <c r="H713" s="29"/>
      <c r="I713" s="32" t="str">
        <f aca="false">IF(OR(E713="",F713=""),"",F713*G713-N(H713))</f>
        <v/>
      </c>
      <c r="J713" s="29"/>
      <c r="K713" s="32" t="str">
        <f aca="false">IF(AND(I713="",N(J713)=0),"",N(I713)+N(J713))</f>
        <v/>
      </c>
      <c r="L713" s="32" t="str">
        <f aca="false">IF(OR(E713="",F713=""),"",F713*IFERROR(INDEX(Товары!$C$4:$C$200,MATCH(E713,Товары!$B$4:$B$200,0)),0))</f>
        <v/>
      </c>
      <c r="M713" s="32" t="str">
        <f aca="false">IF(I713="","",I713-L713)</f>
        <v/>
      </c>
      <c r="N713" s="28"/>
      <c r="O713" s="28"/>
      <c r="P713" s="28"/>
      <c r="Q713" s="28"/>
      <c r="R713" s="35"/>
      <c r="S713" s="28"/>
    </row>
    <row r="714" customFormat="false" ht="15" hidden="false" customHeight="false" outlineLevel="0" collapsed="false">
      <c r="A714" s="34" t="str">
        <f aca="false">IF(E714="","",ROW()-3)</f>
        <v/>
      </c>
      <c r="B714" s="35"/>
      <c r="C714" s="28"/>
      <c r="D714" s="28"/>
      <c r="E714" s="28"/>
      <c r="F714" s="28"/>
      <c r="G714" s="32" t="str">
        <f aca="false">IF(E714="","",IFERROR(INDEX(Товары!$D$4:$D$200,MATCH(E714,Товары!$B$4:$B$200,0)),0))</f>
        <v/>
      </c>
      <c r="H714" s="29"/>
      <c r="I714" s="32" t="str">
        <f aca="false">IF(OR(E714="",F714=""),"",F714*G714-N(H714))</f>
        <v/>
      </c>
      <c r="J714" s="29"/>
      <c r="K714" s="32" t="str">
        <f aca="false">IF(AND(I714="",N(J714)=0),"",N(I714)+N(J714))</f>
        <v/>
      </c>
      <c r="L714" s="32" t="str">
        <f aca="false">IF(OR(E714="",F714=""),"",F714*IFERROR(INDEX(Товары!$C$4:$C$200,MATCH(E714,Товары!$B$4:$B$200,0)),0))</f>
        <v/>
      </c>
      <c r="M714" s="32" t="str">
        <f aca="false">IF(I714="","",I714-L714)</f>
        <v/>
      </c>
      <c r="N714" s="28"/>
      <c r="O714" s="28"/>
      <c r="P714" s="28"/>
      <c r="Q714" s="28"/>
      <c r="R714" s="35"/>
      <c r="S714" s="28"/>
    </row>
    <row r="715" customFormat="false" ht="15" hidden="false" customHeight="false" outlineLevel="0" collapsed="false">
      <c r="A715" s="34" t="str">
        <f aca="false">IF(E715="","",ROW()-3)</f>
        <v/>
      </c>
      <c r="B715" s="35"/>
      <c r="C715" s="28"/>
      <c r="D715" s="28"/>
      <c r="E715" s="28"/>
      <c r="F715" s="28"/>
      <c r="G715" s="32" t="str">
        <f aca="false">IF(E715="","",IFERROR(INDEX(Товары!$D$4:$D$200,MATCH(E715,Товары!$B$4:$B$200,0)),0))</f>
        <v/>
      </c>
      <c r="H715" s="29"/>
      <c r="I715" s="32" t="str">
        <f aca="false">IF(OR(E715="",F715=""),"",F715*G715-N(H715))</f>
        <v/>
      </c>
      <c r="J715" s="29"/>
      <c r="K715" s="32" t="str">
        <f aca="false">IF(AND(I715="",N(J715)=0),"",N(I715)+N(J715))</f>
        <v/>
      </c>
      <c r="L715" s="32" t="str">
        <f aca="false">IF(OR(E715="",F715=""),"",F715*IFERROR(INDEX(Товары!$C$4:$C$200,MATCH(E715,Товары!$B$4:$B$200,0)),0))</f>
        <v/>
      </c>
      <c r="M715" s="32" t="str">
        <f aca="false">IF(I715="","",I715-L715)</f>
        <v/>
      </c>
      <c r="N715" s="28"/>
      <c r="O715" s="28"/>
      <c r="P715" s="28"/>
      <c r="Q715" s="28"/>
      <c r="R715" s="35"/>
      <c r="S715" s="28"/>
    </row>
    <row r="716" customFormat="false" ht="15" hidden="false" customHeight="false" outlineLevel="0" collapsed="false">
      <c r="A716" s="34" t="str">
        <f aca="false">IF(E716="","",ROW()-3)</f>
        <v/>
      </c>
      <c r="B716" s="35"/>
      <c r="C716" s="28"/>
      <c r="D716" s="28"/>
      <c r="E716" s="28"/>
      <c r="F716" s="28"/>
      <c r="G716" s="32" t="str">
        <f aca="false">IF(E716="","",IFERROR(INDEX(Товары!$D$4:$D$200,MATCH(E716,Товары!$B$4:$B$200,0)),0))</f>
        <v/>
      </c>
      <c r="H716" s="29"/>
      <c r="I716" s="32" t="str">
        <f aca="false">IF(OR(E716="",F716=""),"",F716*G716-N(H716))</f>
        <v/>
      </c>
      <c r="J716" s="29"/>
      <c r="K716" s="32" t="str">
        <f aca="false">IF(AND(I716="",N(J716)=0),"",N(I716)+N(J716))</f>
        <v/>
      </c>
      <c r="L716" s="32" t="str">
        <f aca="false">IF(OR(E716="",F716=""),"",F716*IFERROR(INDEX(Товары!$C$4:$C$200,MATCH(E716,Товары!$B$4:$B$200,0)),0))</f>
        <v/>
      </c>
      <c r="M716" s="32" t="str">
        <f aca="false">IF(I716="","",I716-L716)</f>
        <v/>
      </c>
      <c r="N716" s="28"/>
      <c r="O716" s="28"/>
      <c r="P716" s="28"/>
      <c r="Q716" s="28"/>
      <c r="R716" s="35"/>
      <c r="S716" s="28"/>
    </row>
    <row r="717" customFormat="false" ht="15" hidden="false" customHeight="false" outlineLevel="0" collapsed="false">
      <c r="A717" s="34" t="str">
        <f aca="false">IF(E717="","",ROW()-3)</f>
        <v/>
      </c>
      <c r="B717" s="35"/>
      <c r="C717" s="28"/>
      <c r="D717" s="28"/>
      <c r="E717" s="28"/>
      <c r="F717" s="28"/>
      <c r="G717" s="32" t="str">
        <f aca="false">IF(E717="","",IFERROR(INDEX(Товары!$D$4:$D$200,MATCH(E717,Товары!$B$4:$B$200,0)),0))</f>
        <v/>
      </c>
      <c r="H717" s="29"/>
      <c r="I717" s="32" t="str">
        <f aca="false">IF(OR(E717="",F717=""),"",F717*G717-N(H717))</f>
        <v/>
      </c>
      <c r="J717" s="29"/>
      <c r="K717" s="32" t="str">
        <f aca="false">IF(AND(I717="",N(J717)=0),"",N(I717)+N(J717))</f>
        <v/>
      </c>
      <c r="L717" s="32" t="str">
        <f aca="false">IF(OR(E717="",F717=""),"",F717*IFERROR(INDEX(Товары!$C$4:$C$200,MATCH(E717,Товары!$B$4:$B$200,0)),0))</f>
        <v/>
      </c>
      <c r="M717" s="32" t="str">
        <f aca="false">IF(I717="","",I717-L717)</f>
        <v/>
      </c>
      <c r="N717" s="28"/>
      <c r="O717" s="28"/>
      <c r="P717" s="28"/>
      <c r="Q717" s="28"/>
      <c r="R717" s="35"/>
      <c r="S717" s="28"/>
    </row>
    <row r="718" customFormat="false" ht="15" hidden="false" customHeight="false" outlineLevel="0" collapsed="false">
      <c r="A718" s="34" t="str">
        <f aca="false">IF(E718="","",ROW()-3)</f>
        <v/>
      </c>
      <c r="B718" s="35"/>
      <c r="C718" s="28"/>
      <c r="D718" s="28"/>
      <c r="E718" s="28"/>
      <c r="F718" s="28"/>
      <c r="G718" s="32" t="str">
        <f aca="false">IF(E718="","",IFERROR(INDEX(Товары!$D$4:$D$200,MATCH(E718,Товары!$B$4:$B$200,0)),0))</f>
        <v/>
      </c>
      <c r="H718" s="29"/>
      <c r="I718" s="32" t="str">
        <f aca="false">IF(OR(E718="",F718=""),"",F718*G718-N(H718))</f>
        <v/>
      </c>
      <c r="J718" s="29"/>
      <c r="K718" s="32" t="str">
        <f aca="false">IF(AND(I718="",N(J718)=0),"",N(I718)+N(J718))</f>
        <v/>
      </c>
      <c r="L718" s="32" t="str">
        <f aca="false">IF(OR(E718="",F718=""),"",F718*IFERROR(INDEX(Товары!$C$4:$C$200,MATCH(E718,Товары!$B$4:$B$200,0)),0))</f>
        <v/>
      </c>
      <c r="M718" s="32" t="str">
        <f aca="false">IF(I718="","",I718-L718)</f>
        <v/>
      </c>
      <c r="N718" s="28"/>
      <c r="O718" s="28"/>
      <c r="P718" s="28"/>
      <c r="Q718" s="28"/>
      <c r="R718" s="35"/>
      <c r="S718" s="28"/>
    </row>
    <row r="719" customFormat="false" ht="15" hidden="false" customHeight="false" outlineLevel="0" collapsed="false">
      <c r="A719" s="34" t="str">
        <f aca="false">IF(E719="","",ROW()-3)</f>
        <v/>
      </c>
      <c r="B719" s="35"/>
      <c r="C719" s="28"/>
      <c r="D719" s="28"/>
      <c r="E719" s="28"/>
      <c r="F719" s="28"/>
      <c r="G719" s="32" t="str">
        <f aca="false">IF(E719="","",IFERROR(INDEX(Товары!$D$4:$D$200,MATCH(E719,Товары!$B$4:$B$200,0)),0))</f>
        <v/>
      </c>
      <c r="H719" s="29"/>
      <c r="I719" s="32" t="str">
        <f aca="false">IF(OR(E719="",F719=""),"",F719*G719-N(H719))</f>
        <v/>
      </c>
      <c r="J719" s="29"/>
      <c r="K719" s="32" t="str">
        <f aca="false">IF(AND(I719="",N(J719)=0),"",N(I719)+N(J719))</f>
        <v/>
      </c>
      <c r="L719" s="32" t="str">
        <f aca="false">IF(OR(E719="",F719=""),"",F719*IFERROR(INDEX(Товары!$C$4:$C$200,MATCH(E719,Товары!$B$4:$B$200,0)),0))</f>
        <v/>
      </c>
      <c r="M719" s="32" t="str">
        <f aca="false">IF(I719="","",I719-L719)</f>
        <v/>
      </c>
      <c r="N719" s="28"/>
      <c r="O719" s="28"/>
      <c r="P719" s="28"/>
      <c r="Q719" s="28"/>
      <c r="R719" s="35"/>
      <c r="S719" s="28"/>
    </row>
    <row r="720" customFormat="false" ht="15" hidden="false" customHeight="false" outlineLevel="0" collapsed="false">
      <c r="A720" s="34" t="str">
        <f aca="false">IF(E720="","",ROW()-3)</f>
        <v/>
      </c>
      <c r="B720" s="35"/>
      <c r="C720" s="28"/>
      <c r="D720" s="28"/>
      <c r="E720" s="28"/>
      <c r="F720" s="28"/>
      <c r="G720" s="32" t="str">
        <f aca="false">IF(E720="","",IFERROR(INDEX(Товары!$D$4:$D$200,MATCH(E720,Товары!$B$4:$B$200,0)),0))</f>
        <v/>
      </c>
      <c r="H720" s="29"/>
      <c r="I720" s="32" t="str">
        <f aca="false">IF(OR(E720="",F720=""),"",F720*G720-N(H720))</f>
        <v/>
      </c>
      <c r="J720" s="29"/>
      <c r="K720" s="32" t="str">
        <f aca="false">IF(AND(I720="",N(J720)=0),"",N(I720)+N(J720))</f>
        <v/>
      </c>
      <c r="L720" s="32" t="str">
        <f aca="false">IF(OR(E720="",F720=""),"",F720*IFERROR(INDEX(Товары!$C$4:$C$200,MATCH(E720,Товары!$B$4:$B$200,0)),0))</f>
        <v/>
      </c>
      <c r="M720" s="32" t="str">
        <f aca="false">IF(I720="","",I720-L720)</f>
        <v/>
      </c>
      <c r="N720" s="28"/>
      <c r="O720" s="28"/>
      <c r="P720" s="28"/>
      <c r="Q720" s="28"/>
      <c r="R720" s="35"/>
      <c r="S720" s="28"/>
    </row>
    <row r="721" customFormat="false" ht="15" hidden="false" customHeight="false" outlineLevel="0" collapsed="false">
      <c r="A721" s="34" t="str">
        <f aca="false">IF(E721="","",ROW()-3)</f>
        <v/>
      </c>
      <c r="B721" s="35"/>
      <c r="C721" s="28"/>
      <c r="D721" s="28"/>
      <c r="E721" s="28"/>
      <c r="F721" s="28"/>
      <c r="G721" s="32" t="str">
        <f aca="false">IF(E721="","",IFERROR(INDEX(Товары!$D$4:$D$200,MATCH(E721,Товары!$B$4:$B$200,0)),0))</f>
        <v/>
      </c>
      <c r="H721" s="29"/>
      <c r="I721" s="32" t="str">
        <f aca="false">IF(OR(E721="",F721=""),"",F721*G721-N(H721))</f>
        <v/>
      </c>
      <c r="J721" s="29"/>
      <c r="K721" s="32" t="str">
        <f aca="false">IF(AND(I721="",N(J721)=0),"",N(I721)+N(J721))</f>
        <v/>
      </c>
      <c r="L721" s="32" t="str">
        <f aca="false">IF(OR(E721="",F721=""),"",F721*IFERROR(INDEX(Товары!$C$4:$C$200,MATCH(E721,Товары!$B$4:$B$200,0)),0))</f>
        <v/>
      </c>
      <c r="M721" s="32" t="str">
        <f aca="false">IF(I721="","",I721-L721)</f>
        <v/>
      </c>
      <c r="N721" s="28"/>
      <c r="O721" s="28"/>
      <c r="P721" s="28"/>
      <c r="Q721" s="28"/>
      <c r="R721" s="35"/>
      <c r="S721" s="28"/>
    </row>
    <row r="722" customFormat="false" ht="15" hidden="false" customHeight="false" outlineLevel="0" collapsed="false">
      <c r="A722" s="34" t="str">
        <f aca="false">IF(E722="","",ROW()-3)</f>
        <v/>
      </c>
      <c r="B722" s="35"/>
      <c r="C722" s="28"/>
      <c r="D722" s="28"/>
      <c r="E722" s="28"/>
      <c r="F722" s="28"/>
      <c r="G722" s="32" t="str">
        <f aca="false">IF(E722="","",IFERROR(INDEX(Товары!$D$4:$D$200,MATCH(E722,Товары!$B$4:$B$200,0)),0))</f>
        <v/>
      </c>
      <c r="H722" s="29"/>
      <c r="I722" s="32" t="str">
        <f aca="false">IF(OR(E722="",F722=""),"",F722*G722-N(H722))</f>
        <v/>
      </c>
      <c r="J722" s="29"/>
      <c r="K722" s="32" t="str">
        <f aca="false">IF(AND(I722="",N(J722)=0),"",N(I722)+N(J722))</f>
        <v/>
      </c>
      <c r="L722" s="32" t="str">
        <f aca="false">IF(OR(E722="",F722=""),"",F722*IFERROR(INDEX(Товары!$C$4:$C$200,MATCH(E722,Товары!$B$4:$B$200,0)),0))</f>
        <v/>
      </c>
      <c r="M722" s="32" t="str">
        <f aca="false">IF(I722="","",I722-L722)</f>
        <v/>
      </c>
      <c r="N722" s="28"/>
      <c r="O722" s="28"/>
      <c r="P722" s="28"/>
      <c r="Q722" s="28"/>
      <c r="R722" s="35"/>
      <c r="S722" s="28"/>
    </row>
    <row r="723" customFormat="false" ht="15" hidden="false" customHeight="false" outlineLevel="0" collapsed="false">
      <c r="A723" s="34" t="str">
        <f aca="false">IF(E723="","",ROW()-3)</f>
        <v/>
      </c>
      <c r="B723" s="35"/>
      <c r="C723" s="28"/>
      <c r="D723" s="28"/>
      <c r="E723" s="28"/>
      <c r="F723" s="28"/>
      <c r="G723" s="32" t="str">
        <f aca="false">IF(E723="","",IFERROR(INDEX(Товары!$D$4:$D$200,MATCH(E723,Товары!$B$4:$B$200,0)),0))</f>
        <v/>
      </c>
      <c r="H723" s="29"/>
      <c r="I723" s="32" t="str">
        <f aca="false">IF(OR(E723="",F723=""),"",F723*G723-N(H723))</f>
        <v/>
      </c>
      <c r="J723" s="29"/>
      <c r="K723" s="32" t="str">
        <f aca="false">IF(AND(I723="",N(J723)=0),"",N(I723)+N(J723))</f>
        <v/>
      </c>
      <c r="L723" s="32" t="str">
        <f aca="false">IF(OR(E723="",F723=""),"",F723*IFERROR(INDEX(Товары!$C$4:$C$200,MATCH(E723,Товары!$B$4:$B$200,0)),0))</f>
        <v/>
      </c>
      <c r="M723" s="32" t="str">
        <f aca="false">IF(I723="","",I723-L723)</f>
        <v/>
      </c>
      <c r="N723" s="28"/>
      <c r="O723" s="28"/>
      <c r="P723" s="28"/>
      <c r="Q723" s="28"/>
      <c r="R723" s="35"/>
      <c r="S723" s="28"/>
    </row>
    <row r="724" customFormat="false" ht="15" hidden="false" customHeight="false" outlineLevel="0" collapsed="false">
      <c r="A724" s="34" t="str">
        <f aca="false">IF(E724="","",ROW()-3)</f>
        <v/>
      </c>
      <c r="B724" s="35"/>
      <c r="C724" s="28"/>
      <c r="D724" s="28"/>
      <c r="E724" s="28"/>
      <c r="F724" s="28"/>
      <c r="G724" s="32" t="str">
        <f aca="false">IF(E724="","",IFERROR(INDEX(Товары!$D$4:$D$200,MATCH(E724,Товары!$B$4:$B$200,0)),0))</f>
        <v/>
      </c>
      <c r="H724" s="29"/>
      <c r="I724" s="32" t="str">
        <f aca="false">IF(OR(E724="",F724=""),"",F724*G724-N(H724))</f>
        <v/>
      </c>
      <c r="J724" s="29"/>
      <c r="K724" s="32" t="str">
        <f aca="false">IF(AND(I724="",N(J724)=0),"",N(I724)+N(J724))</f>
        <v/>
      </c>
      <c r="L724" s="32" t="str">
        <f aca="false">IF(OR(E724="",F724=""),"",F724*IFERROR(INDEX(Товары!$C$4:$C$200,MATCH(E724,Товары!$B$4:$B$200,0)),0))</f>
        <v/>
      </c>
      <c r="M724" s="32" t="str">
        <f aca="false">IF(I724="","",I724-L724)</f>
        <v/>
      </c>
      <c r="N724" s="28"/>
      <c r="O724" s="28"/>
      <c r="P724" s="28"/>
      <c r="Q724" s="28"/>
      <c r="R724" s="35"/>
      <c r="S724" s="28"/>
    </row>
    <row r="725" customFormat="false" ht="15" hidden="false" customHeight="false" outlineLevel="0" collapsed="false">
      <c r="A725" s="34" t="str">
        <f aca="false">IF(E725="","",ROW()-3)</f>
        <v/>
      </c>
      <c r="B725" s="35"/>
      <c r="C725" s="28"/>
      <c r="D725" s="28"/>
      <c r="E725" s="28"/>
      <c r="F725" s="28"/>
      <c r="G725" s="32" t="str">
        <f aca="false">IF(E725="","",IFERROR(INDEX(Товары!$D$4:$D$200,MATCH(E725,Товары!$B$4:$B$200,0)),0))</f>
        <v/>
      </c>
      <c r="H725" s="29"/>
      <c r="I725" s="32" t="str">
        <f aca="false">IF(OR(E725="",F725=""),"",F725*G725-N(H725))</f>
        <v/>
      </c>
      <c r="J725" s="29"/>
      <c r="K725" s="32" t="str">
        <f aca="false">IF(AND(I725="",N(J725)=0),"",N(I725)+N(J725))</f>
        <v/>
      </c>
      <c r="L725" s="32" t="str">
        <f aca="false">IF(OR(E725="",F725=""),"",F725*IFERROR(INDEX(Товары!$C$4:$C$200,MATCH(E725,Товары!$B$4:$B$200,0)),0))</f>
        <v/>
      </c>
      <c r="M725" s="32" t="str">
        <f aca="false">IF(I725="","",I725-L725)</f>
        <v/>
      </c>
      <c r="N725" s="28"/>
      <c r="O725" s="28"/>
      <c r="P725" s="28"/>
      <c r="Q725" s="28"/>
      <c r="R725" s="35"/>
      <c r="S725" s="28"/>
    </row>
    <row r="726" customFormat="false" ht="15" hidden="false" customHeight="false" outlineLevel="0" collapsed="false">
      <c r="A726" s="34" t="str">
        <f aca="false">IF(E726="","",ROW()-3)</f>
        <v/>
      </c>
      <c r="B726" s="35"/>
      <c r="C726" s="28"/>
      <c r="D726" s="28"/>
      <c r="E726" s="28"/>
      <c r="F726" s="28"/>
      <c r="G726" s="32" t="str">
        <f aca="false">IF(E726="","",IFERROR(INDEX(Товары!$D$4:$D$200,MATCH(E726,Товары!$B$4:$B$200,0)),0))</f>
        <v/>
      </c>
      <c r="H726" s="29"/>
      <c r="I726" s="32" t="str">
        <f aca="false">IF(OR(E726="",F726=""),"",F726*G726-N(H726))</f>
        <v/>
      </c>
      <c r="J726" s="29"/>
      <c r="K726" s="32" t="str">
        <f aca="false">IF(AND(I726="",N(J726)=0),"",N(I726)+N(J726))</f>
        <v/>
      </c>
      <c r="L726" s="32" t="str">
        <f aca="false">IF(OR(E726="",F726=""),"",F726*IFERROR(INDEX(Товары!$C$4:$C$200,MATCH(E726,Товары!$B$4:$B$200,0)),0))</f>
        <v/>
      </c>
      <c r="M726" s="32" t="str">
        <f aca="false">IF(I726="","",I726-L726)</f>
        <v/>
      </c>
      <c r="N726" s="28"/>
      <c r="O726" s="28"/>
      <c r="P726" s="28"/>
      <c r="Q726" s="28"/>
      <c r="R726" s="35"/>
      <c r="S726" s="28"/>
    </row>
    <row r="727" customFormat="false" ht="15" hidden="false" customHeight="false" outlineLevel="0" collapsed="false">
      <c r="A727" s="34" t="str">
        <f aca="false">IF(E727="","",ROW()-3)</f>
        <v/>
      </c>
      <c r="B727" s="35"/>
      <c r="C727" s="28"/>
      <c r="D727" s="28"/>
      <c r="E727" s="28"/>
      <c r="F727" s="28"/>
      <c r="G727" s="32" t="str">
        <f aca="false">IF(E727="","",IFERROR(INDEX(Товары!$D$4:$D$200,MATCH(E727,Товары!$B$4:$B$200,0)),0))</f>
        <v/>
      </c>
      <c r="H727" s="29"/>
      <c r="I727" s="32" t="str">
        <f aca="false">IF(OR(E727="",F727=""),"",F727*G727-N(H727))</f>
        <v/>
      </c>
      <c r="J727" s="29"/>
      <c r="K727" s="32" t="str">
        <f aca="false">IF(AND(I727="",N(J727)=0),"",N(I727)+N(J727))</f>
        <v/>
      </c>
      <c r="L727" s="32" t="str">
        <f aca="false">IF(OR(E727="",F727=""),"",F727*IFERROR(INDEX(Товары!$C$4:$C$200,MATCH(E727,Товары!$B$4:$B$200,0)),0))</f>
        <v/>
      </c>
      <c r="M727" s="32" t="str">
        <f aca="false">IF(I727="","",I727-L727)</f>
        <v/>
      </c>
      <c r="N727" s="28"/>
      <c r="O727" s="28"/>
      <c r="P727" s="28"/>
      <c r="Q727" s="28"/>
      <c r="R727" s="35"/>
      <c r="S727" s="28"/>
    </row>
    <row r="728" customFormat="false" ht="15" hidden="false" customHeight="false" outlineLevel="0" collapsed="false">
      <c r="A728" s="34" t="str">
        <f aca="false">IF(E728="","",ROW()-3)</f>
        <v/>
      </c>
      <c r="B728" s="35"/>
      <c r="C728" s="28"/>
      <c r="D728" s="28"/>
      <c r="E728" s="28"/>
      <c r="F728" s="28"/>
      <c r="G728" s="32" t="str">
        <f aca="false">IF(E728="","",IFERROR(INDEX(Товары!$D$4:$D$200,MATCH(E728,Товары!$B$4:$B$200,0)),0))</f>
        <v/>
      </c>
      <c r="H728" s="29"/>
      <c r="I728" s="32" t="str">
        <f aca="false">IF(OR(E728="",F728=""),"",F728*G728-N(H728))</f>
        <v/>
      </c>
      <c r="J728" s="29"/>
      <c r="K728" s="32" t="str">
        <f aca="false">IF(AND(I728="",N(J728)=0),"",N(I728)+N(J728))</f>
        <v/>
      </c>
      <c r="L728" s="32" t="str">
        <f aca="false">IF(OR(E728="",F728=""),"",F728*IFERROR(INDEX(Товары!$C$4:$C$200,MATCH(E728,Товары!$B$4:$B$200,0)),0))</f>
        <v/>
      </c>
      <c r="M728" s="32" t="str">
        <f aca="false">IF(I728="","",I728-L728)</f>
        <v/>
      </c>
      <c r="N728" s="28"/>
      <c r="O728" s="28"/>
      <c r="P728" s="28"/>
      <c r="Q728" s="28"/>
      <c r="R728" s="35"/>
      <c r="S728" s="28"/>
    </row>
    <row r="729" customFormat="false" ht="15" hidden="false" customHeight="false" outlineLevel="0" collapsed="false">
      <c r="A729" s="34" t="str">
        <f aca="false">IF(E729="","",ROW()-3)</f>
        <v/>
      </c>
      <c r="B729" s="35"/>
      <c r="C729" s="28"/>
      <c r="D729" s="28"/>
      <c r="E729" s="28"/>
      <c r="F729" s="28"/>
      <c r="G729" s="32" t="str">
        <f aca="false">IF(E729="","",IFERROR(INDEX(Товары!$D$4:$D$200,MATCH(E729,Товары!$B$4:$B$200,0)),0))</f>
        <v/>
      </c>
      <c r="H729" s="29"/>
      <c r="I729" s="32" t="str">
        <f aca="false">IF(OR(E729="",F729=""),"",F729*G729-N(H729))</f>
        <v/>
      </c>
      <c r="J729" s="29"/>
      <c r="K729" s="32" t="str">
        <f aca="false">IF(AND(I729="",N(J729)=0),"",N(I729)+N(J729))</f>
        <v/>
      </c>
      <c r="L729" s="32" t="str">
        <f aca="false">IF(OR(E729="",F729=""),"",F729*IFERROR(INDEX(Товары!$C$4:$C$200,MATCH(E729,Товары!$B$4:$B$200,0)),0))</f>
        <v/>
      </c>
      <c r="M729" s="32" t="str">
        <f aca="false">IF(I729="","",I729-L729)</f>
        <v/>
      </c>
      <c r="N729" s="28"/>
      <c r="O729" s="28"/>
      <c r="P729" s="28"/>
      <c r="Q729" s="28"/>
      <c r="R729" s="35"/>
      <c r="S729" s="28"/>
    </row>
    <row r="730" customFormat="false" ht="15" hidden="false" customHeight="false" outlineLevel="0" collapsed="false">
      <c r="A730" s="34" t="str">
        <f aca="false">IF(E730="","",ROW()-3)</f>
        <v/>
      </c>
      <c r="B730" s="35"/>
      <c r="C730" s="28"/>
      <c r="D730" s="28"/>
      <c r="E730" s="28"/>
      <c r="F730" s="28"/>
      <c r="G730" s="32" t="str">
        <f aca="false">IF(E730="","",IFERROR(INDEX(Товары!$D$4:$D$200,MATCH(E730,Товары!$B$4:$B$200,0)),0))</f>
        <v/>
      </c>
      <c r="H730" s="29"/>
      <c r="I730" s="32" t="str">
        <f aca="false">IF(OR(E730="",F730=""),"",F730*G730-N(H730))</f>
        <v/>
      </c>
      <c r="J730" s="29"/>
      <c r="K730" s="32" t="str">
        <f aca="false">IF(AND(I730="",N(J730)=0),"",N(I730)+N(J730))</f>
        <v/>
      </c>
      <c r="L730" s="32" t="str">
        <f aca="false">IF(OR(E730="",F730=""),"",F730*IFERROR(INDEX(Товары!$C$4:$C$200,MATCH(E730,Товары!$B$4:$B$200,0)),0))</f>
        <v/>
      </c>
      <c r="M730" s="32" t="str">
        <f aca="false">IF(I730="","",I730-L730)</f>
        <v/>
      </c>
      <c r="N730" s="28"/>
      <c r="O730" s="28"/>
      <c r="P730" s="28"/>
      <c r="Q730" s="28"/>
      <c r="R730" s="35"/>
      <c r="S730" s="28"/>
    </row>
    <row r="731" customFormat="false" ht="15" hidden="false" customHeight="false" outlineLevel="0" collapsed="false">
      <c r="A731" s="34" t="str">
        <f aca="false">IF(E731="","",ROW()-3)</f>
        <v/>
      </c>
      <c r="B731" s="35"/>
      <c r="C731" s="28"/>
      <c r="D731" s="28"/>
      <c r="E731" s="28"/>
      <c r="F731" s="28"/>
      <c r="G731" s="32" t="str">
        <f aca="false">IF(E731="","",IFERROR(INDEX(Товары!$D$4:$D$200,MATCH(E731,Товары!$B$4:$B$200,0)),0))</f>
        <v/>
      </c>
      <c r="H731" s="29"/>
      <c r="I731" s="32" t="str">
        <f aca="false">IF(OR(E731="",F731=""),"",F731*G731-N(H731))</f>
        <v/>
      </c>
      <c r="J731" s="29"/>
      <c r="K731" s="32" t="str">
        <f aca="false">IF(AND(I731="",N(J731)=0),"",N(I731)+N(J731))</f>
        <v/>
      </c>
      <c r="L731" s="32" t="str">
        <f aca="false">IF(OR(E731="",F731=""),"",F731*IFERROR(INDEX(Товары!$C$4:$C$200,MATCH(E731,Товары!$B$4:$B$200,0)),0))</f>
        <v/>
      </c>
      <c r="M731" s="32" t="str">
        <f aca="false">IF(I731="","",I731-L731)</f>
        <v/>
      </c>
      <c r="N731" s="28"/>
      <c r="O731" s="28"/>
      <c r="P731" s="28"/>
      <c r="Q731" s="28"/>
      <c r="R731" s="35"/>
      <c r="S731" s="28"/>
    </row>
    <row r="732" customFormat="false" ht="15" hidden="false" customHeight="false" outlineLevel="0" collapsed="false">
      <c r="A732" s="34" t="str">
        <f aca="false">IF(E732="","",ROW()-3)</f>
        <v/>
      </c>
      <c r="B732" s="35"/>
      <c r="C732" s="28"/>
      <c r="D732" s="28"/>
      <c r="E732" s="28"/>
      <c r="F732" s="28"/>
      <c r="G732" s="32" t="str">
        <f aca="false">IF(E732="","",IFERROR(INDEX(Товары!$D$4:$D$200,MATCH(E732,Товары!$B$4:$B$200,0)),0))</f>
        <v/>
      </c>
      <c r="H732" s="29"/>
      <c r="I732" s="32" t="str">
        <f aca="false">IF(OR(E732="",F732=""),"",F732*G732-N(H732))</f>
        <v/>
      </c>
      <c r="J732" s="29"/>
      <c r="K732" s="32" t="str">
        <f aca="false">IF(AND(I732="",N(J732)=0),"",N(I732)+N(J732))</f>
        <v/>
      </c>
      <c r="L732" s="32" t="str">
        <f aca="false">IF(OR(E732="",F732=""),"",F732*IFERROR(INDEX(Товары!$C$4:$C$200,MATCH(E732,Товары!$B$4:$B$200,0)),0))</f>
        <v/>
      </c>
      <c r="M732" s="32" t="str">
        <f aca="false">IF(I732="","",I732-L732)</f>
        <v/>
      </c>
      <c r="N732" s="28"/>
      <c r="O732" s="28"/>
      <c r="P732" s="28"/>
      <c r="Q732" s="28"/>
      <c r="R732" s="35"/>
      <c r="S732" s="28"/>
    </row>
    <row r="733" customFormat="false" ht="15" hidden="false" customHeight="false" outlineLevel="0" collapsed="false">
      <c r="A733" s="34" t="str">
        <f aca="false">IF(E733="","",ROW()-3)</f>
        <v/>
      </c>
      <c r="B733" s="35"/>
      <c r="C733" s="28"/>
      <c r="D733" s="28"/>
      <c r="E733" s="28"/>
      <c r="F733" s="28"/>
      <c r="G733" s="32" t="str">
        <f aca="false">IF(E733="","",IFERROR(INDEX(Товары!$D$4:$D$200,MATCH(E733,Товары!$B$4:$B$200,0)),0))</f>
        <v/>
      </c>
      <c r="H733" s="29"/>
      <c r="I733" s="32" t="str">
        <f aca="false">IF(OR(E733="",F733=""),"",F733*G733-N(H733))</f>
        <v/>
      </c>
      <c r="J733" s="29"/>
      <c r="K733" s="32" t="str">
        <f aca="false">IF(AND(I733="",N(J733)=0),"",N(I733)+N(J733))</f>
        <v/>
      </c>
      <c r="L733" s="32" t="str">
        <f aca="false">IF(OR(E733="",F733=""),"",F733*IFERROR(INDEX(Товары!$C$4:$C$200,MATCH(E733,Товары!$B$4:$B$200,0)),0))</f>
        <v/>
      </c>
      <c r="M733" s="32" t="str">
        <f aca="false">IF(I733="","",I733-L733)</f>
        <v/>
      </c>
      <c r="N733" s="28"/>
      <c r="O733" s="28"/>
      <c r="P733" s="28"/>
      <c r="Q733" s="28"/>
      <c r="R733" s="35"/>
      <c r="S733" s="28"/>
    </row>
    <row r="734" customFormat="false" ht="15" hidden="false" customHeight="false" outlineLevel="0" collapsed="false">
      <c r="A734" s="34" t="str">
        <f aca="false">IF(E734="","",ROW()-3)</f>
        <v/>
      </c>
      <c r="B734" s="35"/>
      <c r="C734" s="28"/>
      <c r="D734" s="28"/>
      <c r="E734" s="28"/>
      <c r="F734" s="28"/>
      <c r="G734" s="32" t="str">
        <f aca="false">IF(E734="","",IFERROR(INDEX(Товары!$D$4:$D$200,MATCH(E734,Товары!$B$4:$B$200,0)),0))</f>
        <v/>
      </c>
      <c r="H734" s="29"/>
      <c r="I734" s="32" t="str">
        <f aca="false">IF(OR(E734="",F734=""),"",F734*G734-N(H734))</f>
        <v/>
      </c>
      <c r="J734" s="29"/>
      <c r="K734" s="32" t="str">
        <f aca="false">IF(AND(I734="",N(J734)=0),"",N(I734)+N(J734))</f>
        <v/>
      </c>
      <c r="L734" s="32" t="str">
        <f aca="false">IF(OR(E734="",F734=""),"",F734*IFERROR(INDEX(Товары!$C$4:$C$200,MATCH(E734,Товары!$B$4:$B$200,0)),0))</f>
        <v/>
      </c>
      <c r="M734" s="32" t="str">
        <f aca="false">IF(I734="","",I734-L734)</f>
        <v/>
      </c>
      <c r="N734" s="28"/>
      <c r="O734" s="28"/>
      <c r="P734" s="28"/>
      <c r="Q734" s="28"/>
      <c r="R734" s="35"/>
      <c r="S734" s="28"/>
    </row>
    <row r="735" customFormat="false" ht="15" hidden="false" customHeight="false" outlineLevel="0" collapsed="false">
      <c r="A735" s="34" t="str">
        <f aca="false">IF(E735="","",ROW()-3)</f>
        <v/>
      </c>
      <c r="B735" s="35"/>
      <c r="C735" s="28"/>
      <c r="D735" s="28"/>
      <c r="E735" s="28"/>
      <c r="F735" s="28"/>
      <c r="G735" s="32" t="str">
        <f aca="false">IF(E735="","",IFERROR(INDEX(Товары!$D$4:$D$200,MATCH(E735,Товары!$B$4:$B$200,0)),0))</f>
        <v/>
      </c>
      <c r="H735" s="29"/>
      <c r="I735" s="32" t="str">
        <f aca="false">IF(OR(E735="",F735=""),"",F735*G735-N(H735))</f>
        <v/>
      </c>
      <c r="J735" s="29"/>
      <c r="K735" s="32" t="str">
        <f aca="false">IF(AND(I735="",N(J735)=0),"",N(I735)+N(J735))</f>
        <v/>
      </c>
      <c r="L735" s="32" t="str">
        <f aca="false">IF(OR(E735="",F735=""),"",F735*IFERROR(INDEX(Товары!$C$4:$C$200,MATCH(E735,Товары!$B$4:$B$200,0)),0))</f>
        <v/>
      </c>
      <c r="M735" s="32" t="str">
        <f aca="false">IF(I735="","",I735-L735)</f>
        <v/>
      </c>
      <c r="N735" s="28"/>
      <c r="O735" s="28"/>
      <c r="P735" s="28"/>
      <c r="Q735" s="28"/>
      <c r="R735" s="35"/>
      <c r="S735" s="28"/>
    </row>
    <row r="736" customFormat="false" ht="15" hidden="false" customHeight="false" outlineLevel="0" collapsed="false">
      <c r="A736" s="34" t="str">
        <f aca="false">IF(E736="","",ROW()-3)</f>
        <v/>
      </c>
      <c r="B736" s="35"/>
      <c r="C736" s="28"/>
      <c r="D736" s="28"/>
      <c r="E736" s="28"/>
      <c r="F736" s="28"/>
      <c r="G736" s="32" t="str">
        <f aca="false">IF(E736="","",IFERROR(INDEX(Товары!$D$4:$D$200,MATCH(E736,Товары!$B$4:$B$200,0)),0))</f>
        <v/>
      </c>
      <c r="H736" s="29"/>
      <c r="I736" s="32" t="str">
        <f aca="false">IF(OR(E736="",F736=""),"",F736*G736-N(H736))</f>
        <v/>
      </c>
      <c r="J736" s="29"/>
      <c r="K736" s="32" t="str">
        <f aca="false">IF(AND(I736="",N(J736)=0),"",N(I736)+N(J736))</f>
        <v/>
      </c>
      <c r="L736" s="32" t="str">
        <f aca="false">IF(OR(E736="",F736=""),"",F736*IFERROR(INDEX(Товары!$C$4:$C$200,MATCH(E736,Товары!$B$4:$B$200,0)),0))</f>
        <v/>
      </c>
      <c r="M736" s="32" t="str">
        <f aca="false">IF(I736="","",I736-L736)</f>
        <v/>
      </c>
      <c r="N736" s="28"/>
      <c r="O736" s="28"/>
      <c r="P736" s="28"/>
      <c r="Q736" s="28"/>
      <c r="R736" s="35"/>
      <c r="S736" s="28"/>
    </row>
    <row r="737" customFormat="false" ht="15" hidden="false" customHeight="false" outlineLevel="0" collapsed="false">
      <c r="A737" s="34" t="str">
        <f aca="false">IF(E737="","",ROW()-3)</f>
        <v/>
      </c>
      <c r="B737" s="35"/>
      <c r="C737" s="28"/>
      <c r="D737" s="28"/>
      <c r="E737" s="28"/>
      <c r="F737" s="28"/>
      <c r="G737" s="32" t="str">
        <f aca="false">IF(E737="","",IFERROR(INDEX(Товары!$D$4:$D$200,MATCH(E737,Товары!$B$4:$B$200,0)),0))</f>
        <v/>
      </c>
      <c r="H737" s="29"/>
      <c r="I737" s="32" t="str">
        <f aca="false">IF(OR(E737="",F737=""),"",F737*G737-N(H737))</f>
        <v/>
      </c>
      <c r="J737" s="29"/>
      <c r="K737" s="32" t="str">
        <f aca="false">IF(AND(I737="",N(J737)=0),"",N(I737)+N(J737))</f>
        <v/>
      </c>
      <c r="L737" s="32" t="str">
        <f aca="false">IF(OR(E737="",F737=""),"",F737*IFERROR(INDEX(Товары!$C$4:$C$200,MATCH(E737,Товары!$B$4:$B$200,0)),0))</f>
        <v/>
      </c>
      <c r="M737" s="32" t="str">
        <f aca="false">IF(I737="","",I737-L737)</f>
        <v/>
      </c>
      <c r="N737" s="28"/>
      <c r="O737" s="28"/>
      <c r="P737" s="28"/>
      <c r="Q737" s="28"/>
      <c r="R737" s="35"/>
      <c r="S737" s="28"/>
    </row>
    <row r="738" customFormat="false" ht="15" hidden="false" customHeight="false" outlineLevel="0" collapsed="false">
      <c r="A738" s="34" t="str">
        <f aca="false">IF(E738="","",ROW()-3)</f>
        <v/>
      </c>
      <c r="B738" s="35"/>
      <c r="C738" s="28"/>
      <c r="D738" s="28"/>
      <c r="E738" s="28"/>
      <c r="F738" s="28"/>
      <c r="G738" s="32" t="str">
        <f aca="false">IF(E738="","",IFERROR(INDEX(Товары!$D$4:$D$200,MATCH(E738,Товары!$B$4:$B$200,0)),0))</f>
        <v/>
      </c>
      <c r="H738" s="29"/>
      <c r="I738" s="32" t="str">
        <f aca="false">IF(OR(E738="",F738=""),"",F738*G738-N(H738))</f>
        <v/>
      </c>
      <c r="J738" s="29"/>
      <c r="K738" s="32" t="str">
        <f aca="false">IF(AND(I738="",N(J738)=0),"",N(I738)+N(J738))</f>
        <v/>
      </c>
      <c r="L738" s="32" t="str">
        <f aca="false">IF(OR(E738="",F738=""),"",F738*IFERROR(INDEX(Товары!$C$4:$C$200,MATCH(E738,Товары!$B$4:$B$200,0)),0))</f>
        <v/>
      </c>
      <c r="M738" s="32" t="str">
        <f aca="false">IF(I738="","",I738-L738)</f>
        <v/>
      </c>
      <c r="N738" s="28"/>
      <c r="O738" s="28"/>
      <c r="P738" s="28"/>
      <c r="Q738" s="28"/>
      <c r="R738" s="35"/>
      <c r="S738" s="28"/>
    </row>
    <row r="739" customFormat="false" ht="15" hidden="false" customHeight="false" outlineLevel="0" collapsed="false">
      <c r="A739" s="34" t="str">
        <f aca="false">IF(E739="","",ROW()-3)</f>
        <v/>
      </c>
      <c r="B739" s="35"/>
      <c r="C739" s="28"/>
      <c r="D739" s="28"/>
      <c r="E739" s="28"/>
      <c r="F739" s="28"/>
      <c r="G739" s="32" t="str">
        <f aca="false">IF(E739="","",IFERROR(INDEX(Товары!$D$4:$D$200,MATCH(E739,Товары!$B$4:$B$200,0)),0))</f>
        <v/>
      </c>
      <c r="H739" s="29"/>
      <c r="I739" s="32" t="str">
        <f aca="false">IF(OR(E739="",F739=""),"",F739*G739-N(H739))</f>
        <v/>
      </c>
      <c r="J739" s="29"/>
      <c r="K739" s="32" t="str">
        <f aca="false">IF(AND(I739="",N(J739)=0),"",N(I739)+N(J739))</f>
        <v/>
      </c>
      <c r="L739" s="32" t="str">
        <f aca="false">IF(OR(E739="",F739=""),"",F739*IFERROR(INDEX(Товары!$C$4:$C$200,MATCH(E739,Товары!$B$4:$B$200,0)),0))</f>
        <v/>
      </c>
      <c r="M739" s="32" t="str">
        <f aca="false">IF(I739="","",I739-L739)</f>
        <v/>
      </c>
      <c r="N739" s="28"/>
      <c r="O739" s="28"/>
      <c r="P739" s="28"/>
      <c r="Q739" s="28"/>
      <c r="R739" s="35"/>
      <c r="S739" s="28"/>
    </row>
    <row r="740" customFormat="false" ht="15" hidden="false" customHeight="false" outlineLevel="0" collapsed="false">
      <c r="A740" s="34" t="str">
        <f aca="false">IF(E740="","",ROW()-3)</f>
        <v/>
      </c>
      <c r="B740" s="35"/>
      <c r="C740" s="28"/>
      <c r="D740" s="28"/>
      <c r="E740" s="28"/>
      <c r="F740" s="28"/>
      <c r="G740" s="32" t="str">
        <f aca="false">IF(E740="","",IFERROR(INDEX(Товары!$D$4:$D$200,MATCH(E740,Товары!$B$4:$B$200,0)),0))</f>
        <v/>
      </c>
      <c r="H740" s="29"/>
      <c r="I740" s="32" t="str">
        <f aca="false">IF(OR(E740="",F740=""),"",F740*G740-N(H740))</f>
        <v/>
      </c>
      <c r="J740" s="29"/>
      <c r="K740" s="32" t="str">
        <f aca="false">IF(AND(I740="",N(J740)=0),"",N(I740)+N(J740))</f>
        <v/>
      </c>
      <c r="L740" s="32" t="str">
        <f aca="false">IF(OR(E740="",F740=""),"",F740*IFERROR(INDEX(Товары!$C$4:$C$200,MATCH(E740,Товары!$B$4:$B$200,0)),0))</f>
        <v/>
      </c>
      <c r="M740" s="32" t="str">
        <f aca="false">IF(I740="","",I740-L740)</f>
        <v/>
      </c>
      <c r="N740" s="28"/>
      <c r="O740" s="28"/>
      <c r="P740" s="28"/>
      <c r="Q740" s="28"/>
      <c r="R740" s="35"/>
      <c r="S740" s="28"/>
    </row>
    <row r="741" customFormat="false" ht="15" hidden="false" customHeight="false" outlineLevel="0" collapsed="false">
      <c r="A741" s="34" t="str">
        <f aca="false">IF(E741="","",ROW()-3)</f>
        <v/>
      </c>
      <c r="B741" s="35"/>
      <c r="C741" s="28"/>
      <c r="D741" s="28"/>
      <c r="E741" s="28"/>
      <c r="F741" s="28"/>
      <c r="G741" s="32" t="str">
        <f aca="false">IF(E741="","",IFERROR(INDEX(Товары!$D$4:$D$200,MATCH(E741,Товары!$B$4:$B$200,0)),0))</f>
        <v/>
      </c>
      <c r="H741" s="29"/>
      <c r="I741" s="32" t="str">
        <f aca="false">IF(OR(E741="",F741=""),"",F741*G741-N(H741))</f>
        <v/>
      </c>
      <c r="J741" s="29"/>
      <c r="K741" s="32" t="str">
        <f aca="false">IF(AND(I741="",N(J741)=0),"",N(I741)+N(J741))</f>
        <v/>
      </c>
      <c r="L741" s="32" t="str">
        <f aca="false">IF(OR(E741="",F741=""),"",F741*IFERROR(INDEX(Товары!$C$4:$C$200,MATCH(E741,Товары!$B$4:$B$200,0)),0))</f>
        <v/>
      </c>
      <c r="M741" s="32" t="str">
        <f aca="false">IF(I741="","",I741-L741)</f>
        <v/>
      </c>
      <c r="N741" s="28"/>
      <c r="O741" s="28"/>
      <c r="P741" s="28"/>
      <c r="Q741" s="28"/>
      <c r="R741" s="35"/>
      <c r="S741" s="28"/>
    </row>
    <row r="742" customFormat="false" ht="15" hidden="false" customHeight="false" outlineLevel="0" collapsed="false">
      <c r="A742" s="34" t="str">
        <f aca="false">IF(E742="","",ROW()-3)</f>
        <v/>
      </c>
      <c r="B742" s="35"/>
      <c r="C742" s="28"/>
      <c r="D742" s="28"/>
      <c r="E742" s="28"/>
      <c r="F742" s="28"/>
      <c r="G742" s="32" t="str">
        <f aca="false">IF(E742="","",IFERROR(INDEX(Товары!$D$4:$D$200,MATCH(E742,Товары!$B$4:$B$200,0)),0))</f>
        <v/>
      </c>
      <c r="H742" s="29"/>
      <c r="I742" s="32" t="str">
        <f aca="false">IF(OR(E742="",F742=""),"",F742*G742-N(H742))</f>
        <v/>
      </c>
      <c r="J742" s="29"/>
      <c r="K742" s="32" t="str">
        <f aca="false">IF(AND(I742="",N(J742)=0),"",N(I742)+N(J742))</f>
        <v/>
      </c>
      <c r="L742" s="32" t="str">
        <f aca="false">IF(OR(E742="",F742=""),"",F742*IFERROR(INDEX(Товары!$C$4:$C$200,MATCH(E742,Товары!$B$4:$B$200,0)),0))</f>
        <v/>
      </c>
      <c r="M742" s="32" t="str">
        <f aca="false">IF(I742="","",I742-L742)</f>
        <v/>
      </c>
      <c r="N742" s="28"/>
      <c r="O742" s="28"/>
      <c r="P742" s="28"/>
      <c r="Q742" s="28"/>
      <c r="R742" s="35"/>
      <c r="S742" s="28"/>
    </row>
    <row r="743" customFormat="false" ht="15" hidden="false" customHeight="false" outlineLevel="0" collapsed="false">
      <c r="A743" s="34" t="str">
        <f aca="false">IF(E743="","",ROW()-3)</f>
        <v/>
      </c>
      <c r="B743" s="35"/>
      <c r="C743" s="28"/>
      <c r="D743" s="28"/>
      <c r="E743" s="28"/>
      <c r="F743" s="28"/>
      <c r="G743" s="32" t="str">
        <f aca="false">IF(E743="","",IFERROR(INDEX(Товары!$D$4:$D$200,MATCH(E743,Товары!$B$4:$B$200,0)),0))</f>
        <v/>
      </c>
      <c r="H743" s="29"/>
      <c r="I743" s="32" t="str">
        <f aca="false">IF(OR(E743="",F743=""),"",F743*G743-N(H743))</f>
        <v/>
      </c>
      <c r="J743" s="29"/>
      <c r="K743" s="32" t="str">
        <f aca="false">IF(AND(I743="",N(J743)=0),"",N(I743)+N(J743))</f>
        <v/>
      </c>
      <c r="L743" s="32" t="str">
        <f aca="false">IF(OR(E743="",F743=""),"",F743*IFERROR(INDEX(Товары!$C$4:$C$200,MATCH(E743,Товары!$B$4:$B$200,0)),0))</f>
        <v/>
      </c>
      <c r="M743" s="32" t="str">
        <f aca="false">IF(I743="","",I743-L743)</f>
        <v/>
      </c>
      <c r="N743" s="28"/>
      <c r="O743" s="28"/>
      <c r="P743" s="28"/>
      <c r="Q743" s="28"/>
      <c r="R743" s="35"/>
      <c r="S743" s="28"/>
    </row>
    <row r="744" customFormat="false" ht="15" hidden="false" customHeight="false" outlineLevel="0" collapsed="false">
      <c r="A744" s="34" t="str">
        <f aca="false">IF(E744="","",ROW()-3)</f>
        <v/>
      </c>
      <c r="B744" s="35"/>
      <c r="C744" s="28"/>
      <c r="D744" s="28"/>
      <c r="E744" s="28"/>
      <c r="F744" s="28"/>
      <c r="G744" s="32" t="str">
        <f aca="false">IF(E744="","",IFERROR(INDEX(Товары!$D$4:$D$200,MATCH(E744,Товары!$B$4:$B$200,0)),0))</f>
        <v/>
      </c>
      <c r="H744" s="29"/>
      <c r="I744" s="32" t="str">
        <f aca="false">IF(OR(E744="",F744=""),"",F744*G744-N(H744))</f>
        <v/>
      </c>
      <c r="J744" s="29"/>
      <c r="K744" s="32" t="str">
        <f aca="false">IF(AND(I744="",N(J744)=0),"",N(I744)+N(J744))</f>
        <v/>
      </c>
      <c r="L744" s="32" t="str">
        <f aca="false">IF(OR(E744="",F744=""),"",F744*IFERROR(INDEX(Товары!$C$4:$C$200,MATCH(E744,Товары!$B$4:$B$200,0)),0))</f>
        <v/>
      </c>
      <c r="M744" s="32" t="str">
        <f aca="false">IF(I744="","",I744-L744)</f>
        <v/>
      </c>
      <c r="N744" s="28"/>
      <c r="O744" s="28"/>
      <c r="P744" s="28"/>
      <c r="Q744" s="28"/>
      <c r="R744" s="35"/>
      <c r="S744" s="28"/>
    </row>
    <row r="745" customFormat="false" ht="15" hidden="false" customHeight="false" outlineLevel="0" collapsed="false">
      <c r="A745" s="34" t="str">
        <f aca="false">IF(E745="","",ROW()-3)</f>
        <v/>
      </c>
      <c r="B745" s="35"/>
      <c r="C745" s="28"/>
      <c r="D745" s="28"/>
      <c r="E745" s="28"/>
      <c r="F745" s="28"/>
      <c r="G745" s="32" t="str">
        <f aca="false">IF(E745="","",IFERROR(INDEX(Товары!$D$4:$D$200,MATCH(E745,Товары!$B$4:$B$200,0)),0))</f>
        <v/>
      </c>
      <c r="H745" s="29"/>
      <c r="I745" s="32" t="str">
        <f aca="false">IF(OR(E745="",F745=""),"",F745*G745-N(H745))</f>
        <v/>
      </c>
      <c r="J745" s="29"/>
      <c r="K745" s="32" t="str">
        <f aca="false">IF(AND(I745="",N(J745)=0),"",N(I745)+N(J745))</f>
        <v/>
      </c>
      <c r="L745" s="32" t="str">
        <f aca="false">IF(OR(E745="",F745=""),"",F745*IFERROR(INDEX(Товары!$C$4:$C$200,MATCH(E745,Товары!$B$4:$B$200,0)),0))</f>
        <v/>
      </c>
      <c r="M745" s="32" t="str">
        <f aca="false">IF(I745="","",I745-L745)</f>
        <v/>
      </c>
      <c r="N745" s="28"/>
      <c r="O745" s="28"/>
      <c r="P745" s="28"/>
      <c r="Q745" s="28"/>
      <c r="R745" s="35"/>
      <c r="S745" s="28"/>
    </row>
    <row r="746" customFormat="false" ht="15" hidden="false" customHeight="false" outlineLevel="0" collapsed="false">
      <c r="A746" s="34" t="str">
        <f aca="false">IF(E746="","",ROW()-3)</f>
        <v/>
      </c>
      <c r="B746" s="35"/>
      <c r="C746" s="28"/>
      <c r="D746" s="28"/>
      <c r="E746" s="28"/>
      <c r="F746" s="28"/>
      <c r="G746" s="32" t="str">
        <f aca="false">IF(E746="","",IFERROR(INDEX(Товары!$D$4:$D$200,MATCH(E746,Товары!$B$4:$B$200,0)),0))</f>
        <v/>
      </c>
      <c r="H746" s="29"/>
      <c r="I746" s="32" t="str">
        <f aca="false">IF(OR(E746="",F746=""),"",F746*G746-N(H746))</f>
        <v/>
      </c>
      <c r="J746" s="29"/>
      <c r="K746" s="32" t="str">
        <f aca="false">IF(AND(I746="",N(J746)=0),"",N(I746)+N(J746))</f>
        <v/>
      </c>
      <c r="L746" s="32" t="str">
        <f aca="false">IF(OR(E746="",F746=""),"",F746*IFERROR(INDEX(Товары!$C$4:$C$200,MATCH(E746,Товары!$B$4:$B$200,0)),0))</f>
        <v/>
      </c>
      <c r="M746" s="32" t="str">
        <f aca="false">IF(I746="","",I746-L746)</f>
        <v/>
      </c>
      <c r="N746" s="28"/>
      <c r="O746" s="28"/>
      <c r="P746" s="28"/>
      <c r="Q746" s="28"/>
      <c r="R746" s="35"/>
      <c r="S746" s="28"/>
    </row>
    <row r="747" customFormat="false" ht="15" hidden="false" customHeight="false" outlineLevel="0" collapsed="false">
      <c r="A747" s="34" t="str">
        <f aca="false">IF(E747="","",ROW()-3)</f>
        <v/>
      </c>
      <c r="B747" s="35"/>
      <c r="C747" s="28"/>
      <c r="D747" s="28"/>
      <c r="E747" s="28"/>
      <c r="F747" s="28"/>
      <c r="G747" s="32" t="str">
        <f aca="false">IF(E747="","",IFERROR(INDEX(Товары!$D$4:$D$200,MATCH(E747,Товары!$B$4:$B$200,0)),0))</f>
        <v/>
      </c>
      <c r="H747" s="29"/>
      <c r="I747" s="32" t="str">
        <f aca="false">IF(OR(E747="",F747=""),"",F747*G747-N(H747))</f>
        <v/>
      </c>
      <c r="J747" s="29"/>
      <c r="K747" s="32" t="str">
        <f aca="false">IF(AND(I747="",N(J747)=0),"",N(I747)+N(J747))</f>
        <v/>
      </c>
      <c r="L747" s="32" t="str">
        <f aca="false">IF(OR(E747="",F747=""),"",F747*IFERROR(INDEX(Товары!$C$4:$C$200,MATCH(E747,Товары!$B$4:$B$200,0)),0))</f>
        <v/>
      </c>
      <c r="M747" s="32" t="str">
        <f aca="false">IF(I747="","",I747-L747)</f>
        <v/>
      </c>
      <c r="N747" s="28"/>
      <c r="O747" s="28"/>
      <c r="P747" s="28"/>
      <c r="Q747" s="28"/>
      <c r="R747" s="35"/>
      <c r="S747" s="28"/>
    </row>
    <row r="748" customFormat="false" ht="15" hidden="false" customHeight="false" outlineLevel="0" collapsed="false">
      <c r="A748" s="34" t="str">
        <f aca="false">IF(E748="","",ROW()-3)</f>
        <v/>
      </c>
      <c r="B748" s="35"/>
      <c r="C748" s="28"/>
      <c r="D748" s="28"/>
      <c r="E748" s="28"/>
      <c r="F748" s="28"/>
      <c r="G748" s="32" t="str">
        <f aca="false">IF(E748="","",IFERROR(INDEX(Товары!$D$4:$D$200,MATCH(E748,Товары!$B$4:$B$200,0)),0))</f>
        <v/>
      </c>
      <c r="H748" s="29"/>
      <c r="I748" s="32" t="str">
        <f aca="false">IF(OR(E748="",F748=""),"",F748*G748-N(H748))</f>
        <v/>
      </c>
      <c r="J748" s="29"/>
      <c r="K748" s="32" t="str">
        <f aca="false">IF(AND(I748="",N(J748)=0),"",N(I748)+N(J748))</f>
        <v/>
      </c>
      <c r="L748" s="32" t="str">
        <f aca="false">IF(OR(E748="",F748=""),"",F748*IFERROR(INDEX(Товары!$C$4:$C$200,MATCH(E748,Товары!$B$4:$B$200,0)),0))</f>
        <v/>
      </c>
      <c r="M748" s="32" t="str">
        <f aca="false">IF(I748="","",I748-L748)</f>
        <v/>
      </c>
      <c r="N748" s="28"/>
      <c r="O748" s="28"/>
      <c r="P748" s="28"/>
      <c r="Q748" s="28"/>
      <c r="R748" s="35"/>
      <c r="S748" s="28"/>
    </row>
    <row r="749" customFormat="false" ht="15" hidden="false" customHeight="false" outlineLevel="0" collapsed="false">
      <c r="A749" s="34" t="str">
        <f aca="false">IF(E749="","",ROW()-3)</f>
        <v/>
      </c>
      <c r="B749" s="35"/>
      <c r="C749" s="28"/>
      <c r="D749" s="28"/>
      <c r="E749" s="28"/>
      <c r="F749" s="28"/>
      <c r="G749" s="32" t="str">
        <f aca="false">IF(E749="","",IFERROR(INDEX(Товары!$D$4:$D$200,MATCH(E749,Товары!$B$4:$B$200,0)),0))</f>
        <v/>
      </c>
      <c r="H749" s="29"/>
      <c r="I749" s="32" t="str">
        <f aca="false">IF(OR(E749="",F749=""),"",F749*G749-N(H749))</f>
        <v/>
      </c>
      <c r="J749" s="29"/>
      <c r="K749" s="32" t="str">
        <f aca="false">IF(AND(I749="",N(J749)=0),"",N(I749)+N(J749))</f>
        <v/>
      </c>
      <c r="L749" s="32" t="str">
        <f aca="false">IF(OR(E749="",F749=""),"",F749*IFERROR(INDEX(Товары!$C$4:$C$200,MATCH(E749,Товары!$B$4:$B$200,0)),0))</f>
        <v/>
      </c>
      <c r="M749" s="32" t="str">
        <f aca="false">IF(I749="","",I749-L749)</f>
        <v/>
      </c>
      <c r="N749" s="28"/>
      <c r="O749" s="28"/>
      <c r="P749" s="28"/>
      <c r="Q749" s="28"/>
      <c r="R749" s="35"/>
      <c r="S749" s="28"/>
    </row>
    <row r="750" customFormat="false" ht="15" hidden="false" customHeight="false" outlineLevel="0" collapsed="false">
      <c r="A750" s="34" t="str">
        <f aca="false">IF(E750="","",ROW()-3)</f>
        <v/>
      </c>
      <c r="B750" s="35"/>
      <c r="C750" s="28"/>
      <c r="D750" s="28"/>
      <c r="E750" s="28"/>
      <c r="F750" s="28"/>
      <c r="G750" s="32" t="str">
        <f aca="false">IF(E750="","",IFERROR(INDEX(Товары!$D$4:$D$200,MATCH(E750,Товары!$B$4:$B$200,0)),0))</f>
        <v/>
      </c>
      <c r="H750" s="29"/>
      <c r="I750" s="32" t="str">
        <f aca="false">IF(OR(E750="",F750=""),"",F750*G750-N(H750))</f>
        <v/>
      </c>
      <c r="J750" s="29"/>
      <c r="K750" s="32" t="str">
        <f aca="false">IF(AND(I750="",N(J750)=0),"",N(I750)+N(J750))</f>
        <v/>
      </c>
      <c r="L750" s="32" t="str">
        <f aca="false">IF(OR(E750="",F750=""),"",F750*IFERROR(INDEX(Товары!$C$4:$C$200,MATCH(E750,Товары!$B$4:$B$200,0)),0))</f>
        <v/>
      </c>
      <c r="M750" s="32" t="str">
        <f aca="false">IF(I750="","",I750-L750)</f>
        <v/>
      </c>
      <c r="N750" s="28"/>
      <c r="O750" s="28"/>
      <c r="P750" s="28"/>
      <c r="Q750" s="28"/>
      <c r="R750" s="35"/>
      <c r="S750" s="28"/>
    </row>
    <row r="751" customFormat="false" ht="15" hidden="false" customHeight="false" outlineLevel="0" collapsed="false">
      <c r="A751" s="34" t="str">
        <f aca="false">IF(E751="","",ROW()-3)</f>
        <v/>
      </c>
      <c r="B751" s="35"/>
      <c r="C751" s="28"/>
      <c r="D751" s="28"/>
      <c r="E751" s="28"/>
      <c r="F751" s="28"/>
      <c r="G751" s="32" t="str">
        <f aca="false">IF(E751="","",IFERROR(INDEX(Товары!$D$4:$D$200,MATCH(E751,Товары!$B$4:$B$200,0)),0))</f>
        <v/>
      </c>
      <c r="H751" s="29"/>
      <c r="I751" s="32" t="str">
        <f aca="false">IF(OR(E751="",F751=""),"",F751*G751-N(H751))</f>
        <v/>
      </c>
      <c r="J751" s="29"/>
      <c r="K751" s="32" t="str">
        <f aca="false">IF(AND(I751="",N(J751)=0),"",N(I751)+N(J751))</f>
        <v/>
      </c>
      <c r="L751" s="32" t="str">
        <f aca="false">IF(OR(E751="",F751=""),"",F751*IFERROR(INDEX(Товары!$C$4:$C$200,MATCH(E751,Товары!$B$4:$B$200,0)),0))</f>
        <v/>
      </c>
      <c r="M751" s="32" t="str">
        <f aca="false">IF(I751="","",I751-L751)</f>
        <v/>
      </c>
      <c r="N751" s="28"/>
      <c r="O751" s="28"/>
      <c r="P751" s="28"/>
      <c r="Q751" s="28"/>
      <c r="R751" s="35"/>
      <c r="S751" s="28"/>
    </row>
    <row r="752" customFormat="false" ht="15" hidden="false" customHeight="false" outlineLevel="0" collapsed="false">
      <c r="A752" s="34" t="str">
        <f aca="false">IF(E752="","",ROW()-3)</f>
        <v/>
      </c>
      <c r="B752" s="35"/>
      <c r="C752" s="28"/>
      <c r="D752" s="28"/>
      <c r="E752" s="28"/>
      <c r="F752" s="28"/>
      <c r="G752" s="32" t="str">
        <f aca="false">IF(E752="","",IFERROR(INDEX(Товары!$D$4:$D$200,MATCH(E752,Товары!$B$4:$B$200,0)),0))</f>
        <v/>
      </c>
      <c r="H752" s="29"/>
      <c r="I752" s="32" t="str">
        <f aca="false">IF(OR(E752="",F752=""),"",F752*G752-N(H752))</f>
        <v/>
      </c>
      <c r="J752" s="29"/>
      <c r="K752" s="32" t="str">
        <f aca="false">IF(AND(I752="",N(J752)=0),"",N(I752)+N(J752))</f>
        <v/>
      </c>
      <c r="L752" s="32" t="str">
        <f aca="false">IF(OR(E752="",F752=""),"",F752*IFERROR(INDEX(Товары!$C$4:$C$200,MATCH(E752,Товары!$B$4:$B$200,0)),0))</f>
        <v/>
      </c>
      <c r="M752" s="32" t="str">
        <f aca="false">IF(I752="","",I752-L752)</f>
        <v/>
      </c>
      <c r="N752" s="28"/>
      <c r="O752" s="28"/>
      <c r="P752" s="28"/>
      <c r="Q752" s="28"/>
      <c r="R752" s="35"/>
      <c r="S752" s="28"/>
    </row>
    <row r="753" customFormat="false" ht="15" hidden="false" customHeight="false" outlineLevel="0" collapsed="false">
      <c r="A753" s="34" t="str">
        <f aca="false">IF(E753="","",ROW()-3)</f>
        <v/>
      </c>
      <c r="B753" s="35"/>
      <c r="C753" s="28"/>
      <c r="D753" s="28"/>
      <c r="E753" s="28"/>
      <c r="F753" s="28"/>
      <c r="G753" s="32" t="str">
        <f aca="false">IF(E753="","",IFERROR(INDEX(Товары!$D$4:$D$200,MATCH(E753,Товары!$B$4:$B$200,0)),0))</f>
        <v/>
      </c>
      <c r="H753" s="29"/>
      <c r="I753" s="32" t="str">
        <f aca="false">IF(OR(E753="",F753=""),"",F753*G753-N(H753))</f>
        <v/>
      </c>
      <c r="J753" s="29"/>
      <c r="K753" s="32" t="str">
        <f aca="false">IF(AND(I753="",N(J753)=0),"",N(I753)+N(J753))</f>
        <v/>
      </c>
      <c r="L753" s="32" t="str">
        <f aca="false">IF(OR(E753="",F753=""),"",F753*IFERROR(INDEX(Товары!$C$4:$C$200,MATCH(E753,Товары!$B$4:$B$200,0)),0))</f>
        <v/>
      </c>
      <c r="M753" s="32" t="str">
        <f aca="false">IF(I753="","",I753-L753)</f>
        <v/>
      </c>
      <c r="N753" s="28"/>
      <c r="O753" s="28"/>
      <c r="P753" s="28"/>
      <c r="Q753" s="28"/>
      <c r="R753" s="35"/>
      <c r="S753" s="28"/>
    </row>
    <row r="754" customFormat="false" ht="15" hidden="false" customHeight="false" outlineLevel="0" collapsed="false">
      <c r="A754" s="34" t="str">
        <f aca="false">IF(E754="","",ROW()-3)</f>
        <v/>
      </c>
      <c r="B754" s="35"/>
      <c r="C754" s="28"/>
      <c r="D754" s="28"/>
      <c r="E754" s="28"/>
      <c r="F754" s="28"/>
      <c r="G754" s="32" t="str">
        <f aca="false">IF(E754="","",IFERROR(INDEX(Товары!$D$4:$D$200,MATCH(E754,Товары!$B$4:$B$200,0)),0))</f>
        <v/>
      </c>
      <c r="H754" s="29"/>
      <c r="I754" s="32" t="str">
        <f aca="false">IF(OR(E754="",F754=""),"",F754*G754-N(H754))</f>
        <v/>
      </c>
      <c r="J754" s="29"/>
      <c r="K754" s="32" t="str">
        <f aca="false">IF(AND(I754="",N(J754)=0),"",N(I754)+N(J754))</f>
        <v/>
      </c>
      <c r="L754" s="32" t="str">
        <f aca="false">IF(OR(E754="",F754=""),"",F754*IFERROR(INDEX(Товары!$C$4:$C$200,MATCH(E754,Товары!$B$4:$B$200,0)),0))</f>
        <v/>
      </c>
      <c r="M754" s="32" t="str">
        <f aca="false">IF(I754="","",I754-L754)</f>
        <v/>
      </c>
      <c r="N754" s="28"/>
      <c r="O754" s="28"/>
      <c r="P754" s="28"/>
      <c r="Q754" s="28"/>
      <c r="R754" s="35"/>
      <c r="S754" s="28"/>
    </row>
    <row r="755" customFormat="false" ht="15" hidden="false" customHeight="false" outlineLevel="0" collapsed="false">
      <c r="A755" s="34" t="str">
        <f aca="false">IF(E755="","",ROW()-3)</f>
        <v/>
      </c>
      <c r="B755" s="35"/>
      <c r="C755" s="28"/>
      <c r="D755" s="28"/>
      <c r="E755" s="28"/>
      <c r="F755" s="28"/>
      <c r="G755" s="32" t="str">
        <f aca="false">IF(E755="","",IFERROR(INDEX(Товары!$D$4:$D$200,MATCH(E755,Товары!$B$4:$B$200,0)),0))</f>
        <v/>
      </c>
      <c r="H755" s="29"/>
      <c r="I755" s="32" t="str">
        <f aca="false">IF(OR(E755="",F755=""),"",F755*G755-N(H755))</f>
        <v/>
      </c>
      <c r="J755" s="29"/>
      <c r="K755" s="32" t="str">
        <f aca="false">IF(AND(I755="",N(J755)=0),"",N(I755)+N(J755))</f>
        <v/>
      </c>
      <c r="L755" s="32" t="str">
        <f aca="false">IF(OR(E755="",F755=""),"",F755*IFERROR(INDEX(Товары!$C$4:$C$200,MATCH(E755,Товары!$B$4:$B$200,0)),0))</f>
        <v/>
      </c>
      <c r="M755" s="32" t="str">
        <f aca="false">IF(I755="","",I755-L755)</f>
        <v/>
      </c>
      <c r="N755" s="28"/>
      <c r="O755" s="28"/>
      <c r="P755" s="28"/>
      <c r="Q755" s="28"/>
      <c r="R755" s="35"/>
      <c r="S755" s="28"/>
    </row>
    <row r="756" customFormat="false" ht="15" hidden="false" customHeight="false" outlineLevel="0" collapsed="false">
      <c r="A756" s="34" t="str">
        <f aca="false">IF(E756="","",ROW()-3)</f>
        <v/>
      </c>
      <c r="B756" s="35"/>
      <c r="C756" s="28"/>
      <c r="D756" s="28"/>
      <c r="E756" s="28"/>
      <c r="F756" s="28"/>
      <c r="G756" s="32" t="str">
        <f aca="false">IF(E756="","",IFERROR(INDEX(Товары!$D$4:$D$200,MATCH(E756,Товары!$B$4:$B$200,0)),0))</f>
        <v/>
      </c>
      <c r="H756" s="29"/>
      <c r="I756" s="32" t="str">
        <f aca="false">IF(OR(E756="",F756=""),"",F756*G756-N(H756))</f>
        <v/>
      </c>
      <c r="J756" s="29"/>
      <c r="K756" s="32" t="str">
        <f aca="false">IF(AND(I756="",N(J756)=0),"",N(I756)+N(J756))</f>
        <v/>
      </c>
      <c r="L756" s="32" t="str">
        <f aca="false">IF(OR(E756="",F756=""),"",F756*IFERROR(INDEX(Товары!$C$4:$C$200,MATCH(E756,Товары!$B$4:$B$200,0)),0))</f>
        <v/>
      </c>
      <c r="M756" s="32" t="str">
        <f aca="false">IF(I756="","",I756-L756)</f>
        <v/>
      </c>
      <c r="N756" s="28"/>
      <c r="O756" s="28"/>
      <c r="P756" s="28"/>
      <c r="Q756" s="28"/>
      <c r="R756" s="35"/>
      <c r="S756" s="28"/>
    </row>
    <row r="757" customFormat="false" ht="15" hidden="false" customHeight="false" outlineLevel="0" collapsed="false">
      <c r="A757" s="34" t="str">
        <f aca="false">IF(E757="","",ROW()-3)</f>
        <v/>
      </c>
      <c r="B757" s="35"/>
      <c r="C757" s="28"/>
      <c r="D757" s="28"/>
      <c r="E757" s="28"/>
      <c r="F757" s="28"/>
      <c r="G757" s="32" t="str">
        <f aca="false">IF(E757="","",IFERROR(INDEX(Товары!$D$4:$D$200,MATCH(E757,Товары!$B$4:$B$200,0)),0))</f>
        <v/>
      </c>
      <c r="H757" s="29"/>
      <c r="I757" s="32" t="str">
        <f aca="false">IF(OR(E757="",F757=""),"",F757*G757-N(H757))</f>
        <v/>
      </c>
      <c r="J757" s="29"/>
      <c r="K757" s="32" t="str">
        <f aca="false">IF(AND(I757="",N(J757)=0),"",N(I757)+N(J757))</f>
        <v/>
      </c>
      <c r="L757" s="32" t="str">
        <f aca="false">IF(OR(E757="",F757=""),"",F757*IFERROR(INDEX(Товары!$C$4:$C$200,MATCH(E757,Товары!$B$4:$B$200,0)),0))</f>
        <v/>
      </c>
      <c r="M757" s="32" t="str">
        <f aca="false">IF(I757="","",I757-L757)</f>
        <v/>
      </c>
      <c r="N757" s="28"/>
      <c r="O757" s="28"/>
      <c r="P757" s="28"/>
      <c r="Q757" s="28"/>
      <c r="R757" s="35"/>
      <c r="S757" s="28"/>
    </row>
    <row r="758" customFormat="false" ht="15" hidden="false" customHeight="false" outlineLevel="0" collapsed="false">
      <c r="A758" s="34" t="str">
        <f aca="false">IF(E758="","",ROW()-3)</f>
        <v/>
      </c>
      <c r="B758" s="35"/>
      <c r="C758" s="28"/>
      <c r="D758" s="28"/>
      <c r="E758" s="28"/>
      <c r="F758" s="28"/>
      <c r="G758" s="32" t="str">
        <f aca="false">IF(E758="","",IFERROR(INDEX(Товары!$D$4:$D$200,MATCH(E758,Товары!$B$4:$B$200,0)),0))</f>
        <v/>
      </c>
      <c r="H758" s="29"/>
      <c r="I758" s="32" t="str">
        <f aca="false">IF(OR(E758="",F758=""),"",F758*G758-N(H758))</f>
        <v/>
      </c>
      <c r="J758" s="29"/>
      <c r="K758" s="32" t="str">
        <f aca="false">IF(AND(I758="",N(J758)=0),"",N(I758)+N(J758))</f>
        <v/>
      </c>
      <c r="L758" s="32" t="str">
        <f aca="false">IF(OR(E758="",F758=""),"",F758*IFERROR(INDEX(Товары!$C$4:$C$200,MATCH(E758,Товары!$B$4:$B$200,0)),0))</f>
        <v/>
      </c>
      <c r="M758" s="32" t="str">
        <f aca="false">IF(I758="","",I758-L758)</f>
        <v/>
      </c>
      <c r="N758" s="28"/>
      <c r="O758" s="28"/>
      <c r="P758" s="28"/>
      <c r="Q758" s="28"/>
      <c r="R758" s="35"/>
      <c r="S758" s="28"/>
    </row>
    <row r="759" customFormat="false" ht="15" hidden="false" customHeight="false" outlineLevel="0" collapsed="false">
      <c r="A759" s="34" t="str">
        <f aca="false">IF(E759="","",ROW()-3)</f>
        <v/>
      </c>
      <c r="B759" s="35"/>
      <c r="C759" s="28"/>
      <c r="D759" s="28"/>
      <c r="E759" s="28"/>
      <c r="F759" s="28"/>
      <c r="G759" s="32" t="str">
        <f aca="false">IF(E759="","",IFERROR(INDEX(Товары!$D$4:$D$200,MATCH(E759,Товары!$B$4:$B$200,0)),0))</f>
        <v/>
      </c>
      <c r="H759" s="29"/>
      <c r="I759" s="32" t="str">
        <f aca="false">IF(OR(E759="",F759=""),"",F759*G759-N(H759))</f>
        <v/>
      </c>
      <c r="J759" s="29"/>
      <c r="K759" s="32" t="str">
        <f aca="false">IF(AND(I759="",N(J759)=0),"",N(I759)+N(J759))</f>
        <v/>
      </c>
      <c r="L759" s="32" t="str">
        <f aca="false">IF(OR(E759="",F759=""),"",F759*IFERROR(INDEX(Товары!$C$4:$C$200,MATCH(E759,Товары!$B$4:$B$200,0)),0))</f>
        <v/>
      </c>
      <c r="M759" s="32" t="str">
        <f aca="false">IF(I759="","",I759-L759)</f>
        <v/>
      </c>
      <c r="N759" s="28"/>
      <c r="O759" s="28"/>
      <c r="P759" s="28"/>
      <c r="Q759" s="28"/>
      <c r="R759" s="35"/>
      <c r="S759" s="28"/>
    </row>
    <row r="760" customFormat="false" ht="15" hidden="false" customHeight="false" outlineLevel="0" collapsed="false">
      <c r="A760" s="34" t="str">
        <f aca="false">IF(E760="","",ROW()-3)</f>
        <v/>
      </c>
      <c r="B760" s="35"/>
      <c r="C760" s="28"/>
      <c r="D760" s="28"/>
      <c r="E760" s="28"/>
      <c r="F760" s="28"/>
      <c r="G760" s="32" t="str">
        <f aca="false">IF(E760="","",IFERROR(INDEX(Товары!$D$4:$D$200,MATCH(E760,Товары!$B$4:$B$200,0)),0))</f>
        <v/>
      </c>
      <c r="H760" s="29"/>
      <c r="I760" s="32" t="str">
        <f aca="false">IF(OR(E760="",F760=""),"",F760*G760-N(H760))</f>
        <v/>
      </c>
      <c r="J760" s="29"/>
      <c r="K760" s="32" t="str">
        <f aca="false">IF(AND(I760="",N(J760)=0),"",N(I760)+N(J760))</f>
        <v/>
      </c>
      <c r="L760" s="32" t="str">
        <f aca="false">IF(OR(E760="",F760=""),"",F760*IFERROR(INDEX(Товары!$C$4:$C$200,MATCH(E760,Товары!$B$4:$B$200,0)),0))</f>
        <v/>
      </c>
      <c r="M760" s="32" t="str">
        <f aca="false">IF(I760="","",I760-L760)</f>
        <v/>
      </c>
      <c r="N760" s="28"/>
      <c r="O760" s="28"/>
      <c r="P760" s="28"/>
      <c r="Q760" s="28"/>
      <c r="R760" s="35"/>
      <c r="S760" s="28"/>
    </row>
    <row r="761" customFormat="false" ht="15" hidden="false" customHeight="false" outlineLevel="0" collapsed="false">
      <c r="A761" s="34" t="str">
        <f aca="false">IF(E761="","",ROW()-3)</f>
        <v/>
      </c>
      <c r="B761" s="35"/>
      <c r="C761" s="28"/>
      <c r="D761" s="28"/>
      <c r="E761" s="28"/>
      <c r="F761" s="28"/>
      <c r="G761" s="32" t="str">
        <f aca="false">IF(E761="","",IFERROR(INDEX(Товары!$D$4:$D$200,MATCH(E761,Товары!$B$4:$B$200,0)),0))</f>
        <v/>
      </c>
      <c r="H761" s="29"/>
      <c r="I761" s="32" t="str">
        <f aca="false">IF(OR(E761="",F761=""),"",F761*G761-N(H761))</f>
        <v/>
      </c>
      <c r="J761" s="29"/>
      <c r="K761" s="32" t="str">
        <f aca="false">IF(AND(I761="",N(J761)=0),"",N(I761)+N(J761))</f>
        <v/>
      </c>
      <c r="L761" s="32" t="str">
        <f aca="false">IF(OR(E761="",F761=""),"",F761*IFERROR(INDEX(Товары!$C$4:$C$200,MATCH(E761,Товары!$B$4:$B$200,0)),0))</f>
        <v/>
      </c>
      <c r="M761" s="32" t="str">
        <f aca="false">IF(I761="","",I761-L761)</f>
        <v/>
      </c>
      <c r="N761" s="28"/>
      <c r="O761" s="28"/>
      <c r="P761" s="28"/>
      <c r="Q761" s="28"/>
      <c r="R761" s="35"/>
      <c r="S761" s="28"/>
    </row>
    <row r="762" customFormat="false" ht="15" hidden="false" customHeight="false" outlineLevel="0" collapsed="false">
      <c r="A762" s="34" t="str">
        <f aca="false">IF(E762="","",ROW()-3)</f>
        <v/>
      </c>
      <c r="B762" s="35"/>
      <c r="C762" s="28"/>
      <c r="D762" s="28"/>
      <c r="E762" s="28"/>
      <c r="F762" s="28"/>
      <c r="G762" s="32" t="str">
        <f aca="false">IF(E762="","",IFERROR(INDEX(Товары!$D$4:$D$200,MATCH(E762,Товары!$B$4:$B$200,0)),0))</f>
        <v/>
      </c>
      <c r="H762" s="29"/>
      <c r="I762" s="32" t="str">
        <f aca="false">IF(OR(E762="",F762=""),"",F762*G762-N(H762))</f>
        <v/>
      </c>
      <c r="J762" s="29"/>
      <c r="K762" s="32" t="str">
        <f aca="false">IF(AND(I762="",N(J762)=0),"",N(I762)+N(J762))</f>
        <v/>
      </c>
      <c r="L762" s="32" t="str">
        <f aca="false">IF(OR(E762="",F762=""),"",F762*IFERROR(INDEX(Товары!$C$4:$C$200,MATCH(E762,Товары!$B$4:$B$200,0)),0))</f>
        <v/>
      </c>
      <c r="M762" s="32" t="str">
        <f aca="false">IF(I762="","",I762-L762)</f>
        <v/>
      </c>
      <c r="N762" s="28"/>
      <c r="O762" s="28"/>
      <c r="P762" s="28"/>
      <c r="Q762" s="28"/>
      <c r="R762" s="35"/>
      <c r="S762" s="28"/>
    </row>
    <row r="763" customFormat="false" ht="15" hidden="false" customHeight="false" outlineLevel="0" collapsed="false">
      <c r="A763" s="34" t="str">
        <f aca="false">IF(E763="","",ROW()-3)</f>
        <v/>
      </c>
      <c r="B763" s="35"/>
      <c r="C763" s="28"/>
      <c r="D763" s="28"/>
      <c r="E763" s="28"/>
      <c r="F763" s="28"/>
      <c r="G763" s="32" t="str">
        <f aca="false">IF(E763="","",IFERROR(INDEX(Товары!$D$4:$D$200,MATCH(E763,Товары!$B$4:$B$200,0)),0))</f>
        <v/>
      </c>
      <c r="H763" s="29"/>
      <c r="I763" s="32" t="str">
        <f aca="false">IF(OR(E763="",F763=""),"",F763*G763-N(H763))</f>
        <v/>
      </c>
      <c r="J763" s="29"/>
      <c r="K763" s="32" t="str">
        <f aca="false">IF(AND(I763="",N(J763)=0),"",N(I763)+N(J763))</f>
        <v/>
      </c>
      <c r="L763" s="32" t="str">
        <f aca="false">IF(OR(E763="",F763=""),"",F763*IFERROR(INDEX(Товары!$C$4:$C$200,MATCH(E763,Товары!$B$4:$B$200,0)),0))</f>
        <v/>
      </c>
      <c r="M763" s="32" t="str">
        <f aca="false">IF(I763="","",I763-L763)</f>
        <v/>
      </c>
      <c r="N763" s="28"/>
      <c r="O763" s="28"/>
      <c r="P763" s="28"/>
      <c r="Q763" s="28"/>
      <c r="R763" s="35"/>
      <c r="S763" s="28"/>
    </row>
    <row r="764" customFormat="false" ht="15" hidden="false" customHeight="false" outlineLevel="0" collapsed="false">
      <c r="A764" s="34" t="str">
        <f aca="false">IF(E764="","",ROW()-3)</f>
        <v/>
      </c>
      <c r="B764" s="35"/>
      <c r="C764" s="28"/>
      <c r="D764" s="28"/>
      <c r="E764" s="28"/>
      <c r="F764" s="28"/>
      <c r="G764" s="32" t="str">
        <f aca="false">IF(E764="","",IFERROR(INDEX(Товары!$D$4:$D$200,MATCH(E764,Товары!$B$4:$B$200,0)),0))</f>
        <v/>
      </c>
      <c r="H764" s="29"/>
      <c r="I764" s="32" t="str">
        <f aca="false">IF(OR(E764="",F764=""),"",F764*G764-N(H764))</f>
        <v/>
      </c>
      <c r="J764" s="29"/>
      <c r="K764" s="32" t="str">
        <f aca="false">IF(AND(I764="",N(J764)=0),"",N(I764)+N(J764))</f>
        <v/>
      </c>
      <c r="L764" s="32" t="str">
        <f aca="false">IF(OR(E764="",F764=""),"",F764*IFERROR(INDEX(Товары!$C$4:$C$200,MATCH(E764,Товары!$B$4:$B$200,0)),0))</f>
        <v/>
      </c>
      <c r="M764" s="32" t="str">
        <f aca="false">IF(I764="","",I764-L764)</f>
        <v/>
      </c>
      <c r="N764" s="28"/>
      <c r="O764" s="28"/>
      <c r="P764" s="28"/>
      <c r="Q764" s="28"/>
      <c r="R764" s="35"/>
      <c r="S764" s="28"/>
    </row>
    <row r="765" customFormat="false" ht="15" hidden="false" customHeight="false" outlineLevel="0" collapsed="false">
      <c r="A765" s="34" t="str">
        <f aca="false">IF(E765="","",ROW()-3)</f>
        <v/>
      </c>
      <c r="B765" s="35"/>
      <c r="C765" s="28"/>
      <c r="D765" s="28"/>
      <c r="E765" s="28"/>
      <c r="F765" s="28"/>
      <c r="G765" s="32" t="str">
        <f aca="false">IF(E765="","",IFERROR(INDEX(Товары!$D$4:$D$200,MATCH(E765,Товары!$B$4:$B$200,0)),0))</f>
        <v/>
      </c>
      <c r="H765" s="29"/>
      <c r="I765" s="32" t="str">
        <f aca="false">IF(OR(E765="",F765=""),"",F765*G765-N(H765))</f>
        <v/>
      </c>
      <c r="J765" s="29"/>
      <c r="K765" s="32" t="str">
        <f aca="false">IF(AND(I765="",N(J765)=0),"",N(I765)+N(J765))</f>
        <v/>
      </c>
      <c r="L765" s="32" t="str">
        <f aca="false">IF(OR(E765="",F765=""),"",F765*IFERROR(INDEX(Товары!$C$4:$C$200,MATCH(E765,Товары!$B$4:$B$200,0)),0))</f>
        <v/>
      </c>
      <c r="M765" s="32" t="str">
        <f aca="false">IF(I765="","",I765-L765)</f>
        <v/>
      </c>
      <c r="N765" s="28"/>
      <c r="O765" s="28"/>
      <c r="P765" s="28"/>
      <c r="Q765" s="28"/>
      <c r="R765" s="35"/>
      <c r="S765" s="28"/>
    </row>
    <row r="766" customFormat="false" ht="15" hidden="false" customHeight="false" outlineLevel="0" collapsed="false">
      <c r="A766" s="34" t="str">
        <f aca="false">IF(E766="","",ROW()-3)</f>
        <v/>
      </c>
      <c r="B766" s="35"/>
      <c r="C766" s="28"/>
      <c r="D766" s="28"/>
      <c r="E766" s="28"/>
      <c r="F766" s="28"/>
      <c r="G766" s="32" t="str">
        <f aca="false">IF(E766="","",IFERROR(INDEX(Товары!$D$4:$D$200,MATCH(E766,Товары!$B$4:$B$200,0)),0))</f>
        <v/>
      </c>
      <c r="H766" s="29"/>
      <c r="I766" s="32" t="str">
        <f aca="false">IF(OR(E766="",F766=""),"",F766*G766-N(H766))</f>
        <v/>
      </c>
      <c r="J766" s="29"/>
      <c r="K766" s="32" t="str">
        <f aca="false">IF(AND(I766="",N(J766)=0),"",N(I766)+N(J766))</f>
        <v/>
      </c>
      <c r="L766" s="32" t="str">
        <f aca="false">IF(OR(E766="",F766=""),"",F766*IFERROR(INDEX(Товары!$C$4:$C$200,MATCH(E766,Товары!$B$4:$B$200,0)),0))</f>
        <v/>
      </c>
      <c r="M766" s="32" t="str">
        <f aca="false">IF(I766="","",I766-L766)</f>
        <v/>
      </c>
      <c r="N766" s="28"/>
      <c r="O766" s="28"/>
      <c r="P766" s="28"/>
      <c r="Q766" s="28"/>
      <c r="R766" s="35"/>
      <c r="S766" s="28"/>
    </row>
    <row r="767" customFormat="false" ht="15" hidden="false" customHeight="false" outlineLevel="0" collapsed="false">
      <c r="A767" s="34" t="str">
        <f aca="false">IF(E767="","",ROW()-3)</f>
        <v/>
      </c>
      <c r="B767" s="35"/>
      <c r="C767" s="28"/>
      <c r="D767" s="28"/>
      <c r="E767" s="28"/>
      <c r="F767" s="28"/>
      <c r="G767" s="32" t="str">
        <f aca="false">IF(E767="","",IFERROR(INDEX(Товары!$D$4:$D$200,MATCH(E767,Товары!$B$4:$B$200,0)),0))</f>
        <v/>
      </c>
      <c r="H767" s="29"/>
      <c r="I767" s="32" t="str">
        <f aca="false">IF(OR(E767="",F767=""),"",F767*G767-N(H767))</f>
        <v/>
      </c>
      <c r="J767" s="29"/>
      <c r="K767" s="32" t="str">
        <f aca="false">IF(AND(I767="",N(J767)=0),"",N(I767)+N(J767))</f>
        <v/>
      </c>
      <c r="L767" s="32" t="str">
        <f aca="false">IF(OR(E767="",F767=""),"",F767*IFERROR(INDEX(Товары!$C$4:$C$200,MATCH(E767,Товары!$B$4:$B$200,0)),0))</f>
        <v/>
      </c>
      <c r="M767" s="32" t="str">
        <f aca="false">IF(I767="","",I767-L767)</f>
        <v/>
      </c>
      <c r="N767" s="28"/>
      <c r="O767" s="28"/>
      <c r="P767" s="28"/>
      <c r="Q767" s="28"/>
      <c r="R767" s="35"/>
      <c r="S767" s="28"/>
    </row>
    <row r="768" customFormat="false" ht="15" hidden="false" customHeight="false" outlineLevel="0" collapsed="false">
      <c r="A768" s="34" t="str">
        <f aca="false">IF(E768="","",ROW()-3)</f>
        <v/>
      </c>
      <c r="B768" s="35"/>
      <c r="C768" s="28"/>
      <c r="D768" s="28"/>
      <c r="E768" s="28"/>
      <c r="F768" s="28"/>
      <c r="G768" s="32" t="str">
        <f aca="false">IF(E768="","",IFERROR(INDEX(Товары!$D$4:$D$200,MATCH(E768,Товары!$B$4:$B$200,0)),0))</f>
        <v/>
      </c>
      <c r="H768" s="29"/>
      <c r="I768" s="32" t="str">
        <f aca="false">IF(OR(E768="",F768=""),"",F768*G768-N(H768))</f>
        <v/>
      </c>
      <c r="J768" s="29"/>
      <c r="K768" s="32" t="str">
        <f aca="false">IF(AND(I768="",N(J768)=0),"",N(I768)+N(J768))</f>
        <v/>
      </c>
      <c r="L768" s="32" t="str">
        <f aca="false">IF(OR(E768="",F768=""),"",F768*IFERROR(INDEX(Товары!$C$4:$C$200,MATCH(E768,Товары!$B$4:$B$200,0)),0))</f>
        <v/>
      </c>
      <c r="M768" s="32" t="str">
        <f aca="false">IF(I768="","",I768-L768)</f>
        <v/>
      </c>
      <c r="N768" s="28"/>
      <c r="O768" s="28"/>
      <c r="P768" s="28"/>
      <c r="Q768" s="28"/>
      <c r="R768" s="35"/>
      <c r="S768" s="28"/>
    </row>
    <row r="769" customFormat="false" ht="15" hidden="false" customHeight="false" outlineLevel="0" collapsed="false">
      <c r="A769" s="34" t="str">
        <f aca="false">IF(E769="","",ROW()-3)</f>
        <v/>
      </c>
      <c r="B769" s="35"/>
      <c r="C769" s="28"/>
      <c r="D769" s="28"/>
      <c r="E769" s="28"/>
      <c r="F769" s="28"/>
      <c r="G769" s="32" t="str">
        <f aca="false">IF(E769="","",IFERROR(INDEX(Товары!$D$4:$D$200,MATCH(E769,Товары!$B$4:$B$200,0)),0))</f>
        <v/>
      </c>
      <c r="H769" s="29"/>
      <c r="I769" s="32" t="str">
        <f aca="false">IF(OR(E769="",F769=""),"",F769*G769-N(H769))</f>
        <v/>
      </c>
      <c r="J769" s="29"/>
      <c r="K769" s="32" t="str">
        <f aca="false">IF(AND(I769="",N(J769)=0),"",N(I769)+N(J769))</f>
        <v/>
      </c>
      <c r="L769" s="32" t="str">
        <f aca="false">IF(OR(E769="",F769=""),"",F769*IFERROR(INDEX(Товары!$C$4:$C$200,MATCH(E769,Товары!$B$4:$B$200,0)),0))</f>
        <v/>
      </c>
      <c r="M769" s="32" t="str">
        <f aca="false">IF(I769="","",I769-L769)</f>
        <v/>
      </c>
      <c r="N769" s="28"/>
      <c r="O769" s="28"/>
      <c r="P769" s="28"/>
      <c r="Q769" s="28"/>
      <c r="R769" s="35"/>
      <c r="S769" s="28"/>
    </row>
    <row r="770" customFormat="false" ht="15" hidden="false" customHeight="false" outlineLevel="0" collapsed="false">
      <c r="A770" s="34" t="str">
        <f aca="false">IF(E770="","",ROW()-3)</f>
        <v/>
      </c>
      <c r="B770" s="35"/>
      <c r="C770" s="28"/>
      <c r="D770" s="28"/>
      <c r="E770" s="28"/>
      <c r="F770" s="28"/>
      <c r="G770" s="32" t="str">
        <f aca="false">IF(E770="","",IFERROR(INDEX(Товары!$D$4:$D$200,MATCH(E770,Товары!$B$4:$B$200,0)),0))</f>
        <v/>
      </c>
      <c r="H770" s="29"/>
      <c r="I770" s="32" t="str">
        <f aca="false">IF(OR(E770="",F770=""),"",F770*G770-N(H770))</f>
        <v/>
      </c>
      <c r="J770" s="29"/>
      <c r="K770" s="32" t="str">
        <f aca="false">IF(AND(I770="",N(J770)=0),"",N(I770)+N(J770))</f>
        <v/>
      </c>
      <c r="L770" s="32" t="str">
        <f aca="false">IF(OR(E770="",F770=""),"",F770*IFERROR(INDEX(Товары!$C$4:$C$200,MATCH(E770,Товары!$B$4:$B$200,0)),0))</f>
        <v/>
      </c>
      <c r="M770" s="32" t="str">
        <f aca="false">IF(I770="","",I770-L770)</f>
        <v/>
      </c>
      <c r="N770" s="28"/>
      <c r="O770" s="28"/>
      <c r="P770" s="28"/>
      <c r="Q770" s="28"/>
      <c r="R770" s="35"/>
      <c r="S770" s="28"/>
    </row>
    <row r="771" customFormat="false" ht="15" hidden="false" customHeight="false" outlineLevel="0" collapsed="false">
      <c r="A771" s="34" t="str">
        <f aca="false">IF(E771="","",ROW()-3)</f>
        <v/>
      </c>
      <c r="B771" s="35"/>
      <c r="C771" s="28"/>
      <c r="D771" s="28"/>
      <c r="E771" s="28"/>
      <c r="F771" s="28"/>
      <c r="G771" s="32" t="str">
        <f aca="false">IF(E771="","",IFERROR(INDEX(Товары!$D$4:$D$200,MATCH(E771,Товары!$B$4:$B$200,0)),0))</f>
        <v/>
      </c>
      <c r="H771" s="29"/>
      <c r="I771" s="32" t="str">
        <f aca="false">IF(OR(E771="",F771=""),"",F771*G771-N(H771))</f>
        <v/>
      </c>
      <c r="J771" s="29"/>
      <c r="K771" s="32" t="str">
        <f aca="false">IF(AND(I771="",N(J771)=0),"",N(I771)+N(J771))</f>
        <v/>
      </c>
      <c r="L771" s="32" t="str">
        <f aca="false">IF(OR(E771="",F771=""),"",F771*IFERROR(INDEX(Товары!$C$4:$C$200,MATCH(E771,Товары!$B$4:$B$200,0)),0))</f>
        <v/>
      </c>
      <c r="M771" s="32" t="str">
        <f aca="false">IF(I771="","",I771-L771)</f>
        <v/>
      </c>
      <c r="N771" s="28"/>
      <c r="O771" s="28"/>
      <c r="P771" s="28"/>
      <c r="Q771" s="28"/>
      <c r="R771" s="35"/>
      <c r="S771" s="28"/>
    </row>
    <row r="772" customFormat="false" ht="15" hidden="false" customHeight="false" outlineLevel="0" collapsed="false">
      <c r="A772" s="34" t="str">
        <f aca="false">IF(E772="","",ROW()-3)</f>
        <v/>
      </c>
      <c r="B772" s="35"/>
      <c r="C772" s="28"/>
      <c r="D772" s="28"/>
      <c r="E772" s="28"/>
      <c r="F772" s="28"/>
      <c r="G772" s="32" t="str">
        <f aca="false">IF(E772="","",IFERROR(INDEX(Товары!$D$4:$D$200,MATCH(E772,Товары!$B$4:$B$200,0)),0))</f>
        <v/>
      </c>
      <c r="H772" s="29"/>
      <c r="I772" s="32" t="str">
        <f aca="false">IF(OR(E772="",F772=""),"",F772*G772-N(H772))</f>
        <v/>
      </c>
      <c r="J772" s="29"/>
      <c r="K772" s="32" t="str">
        <f aca="false">IF(AND(I772="",N(J772)=0),"",N(I772)+N(J772))</f>
        <v/>
      </c>
      <c r="L772" s="32" t="str">
        <f aca="false">IF(OR(E772="",F772=""),"",F772*IFERROR(INDEX(Товары!$C$4:$C$200,MATCH(E772,Товары!$B$4:$B$200,0)),0))</f>
        <v/>
      </c>
      <c r="M772" s="32" t="str">
        <f aca="false">IF(I772="","",I772-L772)</f>
        <v/>
      </c>
      <c r="N772" s="28"/>
      <c r="O772" s="28"/>
      <c r="P772" s="28"/>
      <c r="Q772" s="28"/>
      <c r="R772" s="35"/>
      <c r="S772" s="28"/>
    </row>
    <row r="773" customFormat="false" ht="15" hidden="false" customHeight="false" outlineLevel="0" collapsed="false">
      <c r="A773" s="34" t="str">
        <f aca="false">IF(E773="","",ROW()-3)</f>
        <v/>
      </c>
      <c r="B773" s="35"/>
      <c r="C773" s="28"/>
      <c r="D773" s="28"/>
      <c r="E773" s="28"/>
      <c r="F773" s="28"/>
      <c r="G773" s="32" t="str">
        <f aca="false">IF(E773="","",IFERROR(INDEX(Товары!$D$4:$D$200,MATCH(E773,Товары!$B$4:$B$200,0)),0))</f>
        <v/>
      </c>
      <c r="H773" s="29"/>
      <c r="I773" s="32" t="str">
        <f aca="false">IF(OR(E773="",F773=""),"",F773*G773-N(H773))</f>
        <v/>
      </c>
      <c r="J773" s="29"/>
      <c r="K773" s="32" t="str">
        <f aca="false">IF(AND(I773="",N(J773)=0),"",N(I773)+N(J773))</f>
        <v/>
      </c>
      <c r="L773" s="32" t="str">
        <f aca="false">IF(OR(E773="",F773=""),"",F773*IFERROR(INDEX(Товары!$C$4:$C$200,MATCH(E773,Товары!$B$4:$B$200,0)),0))</f>
        <v/>
      </c>
      <c r="M773" s="32" t="str">
        <f aca="false">IF(I773="","",I773-L773)</f>
        <v/>
      </c>
      <c r="N773" s="28"/>
      <c r="O773" s="28"/>
      <c r="P773" s="28"/>
      <c r="Q773" s="28"/>
      <c r="R773" s="35"/>
      <c r="S773" s="28"/>
    </row>
    <row r="774" customFormat="false" ht="15" hidden="false" customHeight="false" outlineLevel="0" collapsed="false">
      <c r="A774" s="34" t="str">
        <f aca="false">IF(E774="","",ROW()-3)</f>
        <v/>
      </c>
      <c r="B774" s="35"/>
      <c r="C774" s="28"/>
      <c r="D774" s="28"/>
      <c r="E774" s="28"/>
      <c r="F774" s="28"/>
      <c r="G774" s="32" t="str">
        <f aca="false">IF(E774="","",IFERROR(INDEX(Товары!$D$4:$D$200,MATCH(E774,Товары!$B$4:$B$200,0)),0))</f>
        <v/>
      </c>
      <c r="H774" s="29"/>
      <c r="I774" s="32" t="str">
        <f aca="false">IF(OR(E774="",F774=""),"",F774*G774-N(H774))</f>
        <v/>
      </c>
      <c r="J774" s="29"/>
      <c r="K774" s="32" t="str">
        <f aca="false">IF(AND(I774="",N(J774)=0),"",N(I774)+N(J774))</f>
        <v/>
      </c>
      <c r="L774" s="32" t="str">
        <f aca="false">IF(OR(E774="",F774=""),"",F774*IFERROR(INDEX(Товары!$C$4:$C$200,MATCH(E774,Товары!$B$4:$B$200,0)),0))</f>
        <v/>
      </c>
      <c r="M774" s="32" t="str">
        <f aca="false">IF(I774="","",I774-L774)</f>
        <v/>
      </c>
      <c r="N774" s="28"/>
      <c r="O774" s="28"/>
      <c r="P774" s="28"/>
      <c r="Q774" s="28"/>
      <c r="R774" s="35"/>
      <c r="S774" s="28"/>
    </row>
    <row r="775" customFormat="false" ht="15" hidden="false" customHeight="false" outlineLevel="0" collapsed="false">
      <c r="A775" s="34" t="str">
        <f aca="false">IF(E775="","",ROW()-3)</f>
        <v/>
      </c>
      <c r="B775" s="35"/>
      <c r="C775" s="28"/>
      <c r="D775" s="28"/>
      <c r="E775" s="28"/>
      <c r="F775" s="28"/>
      <c r="G775" s="32" t="str">
        <f aca="false">IF(E775="","",IFERROR(INDEX(Товары!$D$4:$D$200,MATCH(E775,Товары!$B$4:$B$200,0)),0))</f>
        <v/>
      </c>
      <c r="H775" s="29"/>
      <c r="I775" s="32" t="str">
        <f aca="false">IF(OR(E775="",F775=""),"",F775*G775-N(H775))</f>
        <v/>
      </c>
      <c r="J775" s="29"/>
      <c r="K775" s="32" t="str">
        <f aca="false">IF(AND(I775="",N(J775)=0),"",N(I775)+N(J775))</f>
        <v/>
      </c>
      <c r="L775" s="32" t="str">
        <f aca="false">IF(OR(E775="",F775=""),"",F775*IFERROR(INDEX(Товары!$C$4:$C$200,MATCH(E775,Товары!$B$4:$B$200,0)),0))</f>
        <v/>
      </c>
      <c r="M775" s="32" t="str">
        <f aca="false">IF(I775="","",I775-L775)</f>
        <v/>
      </c>
      <c r="N775" s="28"/>
      <c r="O775" s="28"/>
      <c r="P775" s="28"/>
      <c r="Q775" s="28"/>
      <c r="R775" s="35"/>
      <c r="S775" s="28"/>
    </row>
    <row r="776" customFormat="false" ht="15" hidden="false" customHeight="false" outlineLevel="0" collapsed="false">
      <c r="A776" s="34" t="str">
        <f aca="false">IF(E776="","",ROW()-3)</f>
        <v/>
      </c>
      <c r="B776" s="35"/>
      <c r="C776" s="28"/>
      <c r="D776" s="28"/>
      <c r="E776" s="28"/>
      <c r="F776" s="28"/>
      <c r="G776" s="32" t="str">
        <f aca="false">IF(E776="","",IFERROR(INDEX(Товары!$D$4:$D$200,MATCH(E776,Товары!$B$4:$B$200,0)),0))</f>
        <v/>
      </c>
      <c r="H776" s="29"/>
      <c r="I776" s="32" t="str">
        <f aca="false">IF(OR(E776="",F776=""),"",F776*G776-N(H776))</f>
        <v/>
      </c>
      <c r="J776" s="29"/>
      <c r="K776" s="32" t="str">
        <f aca="false">IF(AND(I776="",N(J776)=0),"",N(I776)+N(J776))</f>
        <v/>
      </c>
      <c r="L776" s="32" t="str">
        <f aca="false">IF(OR(E776="",F776=""),"",F776*IFERROR(INDEX(Товары!$C$4:$C$200,MATCH(E776,Товары!$B$4:$B$200,0)),0))</f>
        <v/>
      </c>
      <c r="M776" s="32" t="str">
        <f aca="false">IF(I776="","",I776-L776)</f>
        <v/>
      </c>
      <c r="N776" s="28"/>
      <c r="O776" s="28"/>
      <c r="P776" s="28"/>
      <c r="Q776" s="28"/>
      <c r="R776" s="35"/>
      <c r="S776" s="28"/>
    </row>
    <row r="777" customFormat="false" ht="15" hidden="false" customHeight="false" outlineLevel="0" collapsed="false">
      <c r="A777" s="34" t="str">
        <f aca="false">IF(E777="","",ROW()-3)</f>
        <v/>
      </c>
      <c r="B777" s="35"/>
      <c r="C777" s="28"/>
      <c r="D777" s="28"/>
      <c r="E777" s="28"/>
      <c r="F777" s="28"/>
      <c r="G777" s="32" t="str">
        <f aca="false">IF(E777="","",IFERROR(INDEX(Товары!$D$4:$D$200,MATCH(E777,Товары!$B$4:$B$200,0)),0))</f>
        <v/>
      </c>
      <c r="H777" s="29"/>
      <c r="I777" s="32" t="str">
        <f aca="false">IF(OR(E777="",F777=""),"",F777*G777-N(H777))</f>
        <v/>
      </c>
      <c r="J777" s="29"/>
      <c r="K777" s="32" t="str">
        <f aca="false">IF(AND(I777="",N(J777)=0),"",N(I777)+N(J777))</f>
        <v/>
      </c>
      <c r="L777" s="32" t="str">
        <f aca="false">IF(OR(E777="",F777=""),"",F777*IFERROR(INDEX(Товары!$C$4:$C$200,MATCH(E777,Товары!$B$4:$B$200,0)),0))</f>
        <v/>
      </c>
      <c r="M777" s="32" t="str">
        <f aca="false">IF(I777="","",I777-L777)</f>
        <v/>
      </c>
      <c r="N777" s="28"/>
      <c r="O777" s="28"/>
      <c r="P777" s="28"/>
      <c r="Q777" s="28"/>
      <c r="R777" s="35"/>
      <c r="S777" s="28"/>
    </row>
    <row r="778" customFormat="false" ht="15" hidden="false" customHeight="false" outlineLevel="0" collapsed="false">
      <c r="A778" s="34" t="str">
        <f aca="false">IF(E778="","",ROW()-3)</f>
        <v/>
      </c>
      <c r="B778" s="35"/>
      <c r="C778" s="28"/>
      <c r="D778" s="28"/>
      <c r="E778" s="28"/>
      <c r="F778" s="28"/>
      <c r="G778" s="32" t="str">
        <f aca="false">IF(E778="","",IFERROR(INDEX(Товары!$D$4:$D$200,MATCH(E778,Товары!$B$4:$B$200,0)),0))</f>
        <v/>
      </c>
      <c r="H778" s="29"/>
      <c r="I778" s="32" t="str">
        <f aca="false">IF(OR(E778="",F778=""),"",F778*G778-N(H778))</f>
        <v/>
      </c>
      <c r="J778" s="29"/>
      <c r="K778" s="32" t="str">
        <f aca="false">IF(AND(I778="",N(J778)=0),"",N(I778)+N(J778))</f>
        <v/>
      </c>
      <c r="L778" s="32" t="str">
        <f aca="false">IF(OR(E778="",F778=""),"",F778*IFERROR(INDEX(Товары!$C$4:$C$200,MATCH(E778,Товары!$B$4:$B$200,0)),0))</f>
        <v/>
      </c>
      <c r="M778" s="32" t="str">
        <f aca="false">IF(I778="","",I778-L778)</f>
        <v/>
      </c>
      <c r="N778" s="28"/>
      <c r="O778" s="28"/>
      <c r="P778" s="28"/>
      <c r="Q778" s="28"/>
      <c r="R778" s="35"/>
      <c r="S778" s="28"/>
    </row>
    <row r="779" customFormat="false" ht="15" hidden="false" customHeight="false" outlineLevel="0" collapsed="false">
      <c r="A779" s="34" t="str">
        <f aca="false">IF(E779="","",ROW()-3)</f>
        <v/>
      </c>
      <c r="B779" s="35"/>
      <c r="C779" s="28"/>
      <c r="D779" s="28"/>
      <c r="E779" s="28"/>
      <c r="F779" s="28"/>
      <c r="G779" s="32" t="str">
        <f aca="false">IF(E779="","",IFERROR(INDEX(Товары!$D$4:$D$200,MATCH(E779,Товары!$B$4:$B$200,0)),0))</f>
        <v/>
      </c>
      <c r="H779" s="29"/>
      <c r="I779" s="32" t="str">
        <f aca="false">IF(OR(E779="",F779=""),"",F779*G779-N(H779))</f>
        <v/>
      </c>
      <c r="J779" s="29"/>
      <c r="K779" s="32" t="str">
        <f aca="false">IF(AND(I779="",N(J779)=0),"",N(I779)+N(J779))</f>
        <v/>
      </c>
      <c r="L779" s="32" t="str">
        <f aca="false">IF(OR(E779="",F779=""),"",F779*IFERROR(INDEX(Товары!$C$4:$C$200,MATCH(E779,Товары!$B$4:$B$200,0)),0))</f>
        <v/>
      </c>
      <c r="M779" s="32" t="str">
        <f aca="false">IF(I779="","",I779-L779)</f>
        <v/>
      </c>
      <c r="N779" s="28"/>
      <c r="O779" s="28"/>
      <c r="P779" s="28"/>
      <c r="Q779" s="28"/>
      <c r="R779" s="35"/>
      <c r="S779" s="28"/>
    </row>
    <row r="780" customFormat="false" ht="15" hidden="false" customHeight="false" outlineLevel="0" collapsed="false">
      <c r="A780" s="34" t="str">
        <f aca="false">IF(E780="","",ROW()-3)</f>
        <v/>
      </c>
      <c r="B780" s="35"/>
      <c r="C780" s="28"/>
      <c r="D780" s="28"/>
      <c r="E780" s="28"/>
      <c r="F780" s="28"/>
      <c r="G780" s="32" t="str">
        <f aca="false">IF(E780="","",IFERROR(INDEX(Товары!$D$4:$D$200,MATCH(E780,Товары!$B$4:$B$200,0)),0))</f>
        <v/>
      </c>
      <c r="H780" s="29"/>
      <c r="I780" s="32" t="str">
        <f aca="false">IF(OR(E780="",F780=""),"",F780*G780-N(H780))</f>
        <v/>
      </c>
      <c r="J780" s="29"/>
      <c r="K780" s="32" t="str">
        <f aca="false">IF(AND(I780="",N(J780)=0),"",N(I780)+N(J780))</f>
        <v/>
      </c>
      <c r="L780" s="32" t="str">
        <f aca="false">IF(OR(E780="",F780=""),"",F780*IFERROR(INDEX(Товары!$C$4:$C$200,MATCH(E780,Товары!$B$4:$B$200,0)),0))</f>
        <v/>
      </c>
      <c r="M780" s="32" t="str">
        <f aca="false">IF(I780="","",I780-L780)</f>
        <v/>
      </c>
      <c r="N780" s="28"/>
      <c r="O780" s="28"/>
      <c r="P780" s="28"/>
      <c r="Q780" s="28"/>
      <c r="R780" s="35"/>
      <c r="S780" s="28"/>
    </row>
    <row r="781" customFormat="false" ht="15" hidden="false" customHeight="false" outlineLevel="0" collapsed="false">
      <c r="A781" s="34" t="str">
        <f aca="false">IF(E781="","",ROW()-3)</f>
        <v/>
      </c>
      <c r="B781" s="35"/>
      <c r="C781" s="28"/>
      <c r="D781" s="28"/>
      <c r="E781" s="28"/>
      <c r="F781" s="28"/>
      <c r="G781" s="32" t="str">
        <f aca="false">IF(E781="","",IFERROR(INDEX(Товары!$D$4:$D$200,MATCH(E781,Товары!$B$4:$B$200,0)),0))</f>
        <v/>
      </c>
      <c r="H781" s="29"/>
      <c r="I781" s="32" t="str">
        <f aca="false">IF(OR(E781="",F781=""),"",F781*G781-N(H781))</f>
        <v/>
      </c>
      <c r="J781" s="29"/>
      <c r="K781" s="32" t="str">
        <f aca="false">IF(AND(I781="",N(J781)=0),"",N(I781)+N(J781))</f>
        <v/>
      </c>
      <c r="L781" s="32" t="str">
        <f aca="false">IF(OR(E781="",F781=""),"",F781*IFERROR(INDEX(Товары!$C$4:$C$200,MATCH(E781,Товары!$B$4:$B$200,0)),0))</f>
        <v/>
      </c>
      <c r="M781" s="32" t="str">
        <f aca="false">IF(I781="","",I781-L781)</f>
        <v/>
      </c>
      <c r="N781" s="28"/>
      <c r="O781" s="28"/>
      <c r="P781" s="28"/>
      <c r="Q781" s="28"/>
      <c r="R781" s="35"/>
      <c r="S781" s="28"/>
    </row>
    <row r="782" customFormat="false" ht="15" hidden="false" customHeight="false" outlineLevel="0" collapsed="false">
      <c r="A782" s="34" t="str">
        <f aca="false">IF(E782="","",ROW()-3)</f>
        <v/>
      </c>
      <c r="B782" s="35"/>
      <c r="C782" s="28"/>
      <c r="D782" s="28"/>
      <c r="E782" s="28"/>
      <c r="F782" s="28"/>
      <c r="G782" s="32" t="str">
        <f aca="false">IF(E782="","",IFERROR(INDEX(Товары!$D$4:$D$200,MATCH(E782,Товары!$B$4:$B$200,0)),0))</f>
        <v/>
      </c>
      <c r="H782" s="29"/>
      <c r="I782" s="32" t="str">
        <f aca="false">IF(OR(E782="",F782=""),"",F782*G782-N(H782))</f>
        <v/>
      </c>
      <c r="J782" s="29"/>
      <c r="K782" s="32" t="str">
        <f aca="false">IF(AND(I782="",N(J782)=0),"",N(I782)+N(J782))</f>
        <v/>
      </c>
      <c r="L782" s="32" t="str">
        <f aca="false">IF(OR(E782="",F782=""),"",F782*IFERROR(INDEX(Товары!$C$4:$C$200,MATCH(E782,Товары!$B$4:$B$200,0)),0))</f>
        <v/>
      </c>
      <c r="M782" s="32" t="str">
        <f aca="false">IF(I782="","",I782-L782)</f>
        <v/>
      </c>
      <c r="N782" s="28"/>
      <c r="O782" s="28"/>
      <c r="P782" s="28"/>
      <c r="Q782" s="28"/>
      <c r="R782" s="35"/>
      <c r="S782" s="28"/>
    </row>
    <row r="783" customFormat="false" ht="15" hidden="false" customHeight="false" outlineLevel="0" collapsed="false">
      <c r="A783" s="34" t="str">
        <f aca="false">IF(E783="","",ROW()-3)</f>
        <v/>
      </c>
      <c r="B783" s="35"/>
      <c r="C783" s="28"/>
      <c r="D783" s="28"/>
      <c r="E783" s="28"/>
      <c r="F783" s="28"/>
      <c r="G783" s="32" t="str">
        <f aca="false">IF(E783="","",IFERROR(INDEX(Товары!$D$4:$D$200,MATCH(E783,Товары!$B$4:$B$200,0)),0))</f>
        <v/>
      </c>
      <c r="H783" s="29"/>
      <c r="I783" s="32" t="str">
        <f aca="false">IF(OR(E783="",F783=""),"",F783*G783-N(H783))</f>
        <v/>
      </c>
      <c r="J783" s="29"/>
      <c r="K783" s="32" t="str">
        <f aca="false">IF(AND(I783="",N(J783)=0),"",N(I783)+N(J783))</f>
        <v/>
      </c>
      <c r="L783" s="32" t="str">
        <f aca="false">IF(OR(E783="",F783=""),"",F783*IFERROR(INDEX(Товары!$C$4:$C$200,MATCH(E783,Товары!$B$4:$B$200,0)),0))</f>
        <v/>
      </c>
      <c r="M783" s="32" t="str">
        <f aca="false">IF(I783="","",I783-L783)</f>
        <v/>
      </c>
      <c r="N783" s="28"/>
      <c r="O783" s="28"/>
      <c r="P783" s="28"/>
      <c r="Q783" s="28"/>
      <c r="R783" s="35"/>
      <c r="S783" s="28"/>
    </row>
    <row r="784" customFormat="false" ht="15" hidden="false" customHeight="false" outlineLevel="0" collapsed="false">
      <c r="A784" s="34" t="str">
        <f aca="false">IF(E784="","",ROW()-3)</f>
        <v/>
      </c>
      <c r="B784" s="35"/>
      <c r="C784" s="28"/>
      <c r="D784" s="28"/>
      <c r="E784" s="28"/>
      <c r="F784" s="28"/>
      <c r="G784" s="32" t="str">
        <f aca="false">IF(E784="","",IFERROR(INDEX(Товары!$D$4:$D$200,MATCH(E784,Товары!$B$4:$B$200,0)),0))</f>
        <v/>
      </c>
      <c r="H784" s="29"/>
      <c r="I784" s="32" t="str">
        <f aca="false">IF(OR(E784="",F784=""),"",F784*G784-N(H784))</f>
        <v/>
      </c>
      <c r="J784" s="29"/>
      <c r="K784" s="32" t="str">
        <f aca="false">IF(AND(I784="",N(J784)=0),"",N(I784)+N(J784))</f>
        <v/>
      </c>
      <c r="L784" s="32" t="str">
        <f aca="false">IF(OR(E784="",F784=""),"",F784*IFERROR(INDEX(Товары!$C$4:$C$200,MATCH(E784,Товары!$B$4:$B$200,0)),0))</f>
        <v/>
      </c>
      <c r="M784" s="32" t="str">
        <f aca="false">IF(I784="","",I784-L784)</f>
        <v/>
      </c>
      <c r="N784" s="28"/>
      <c r="O784" s="28"/>
      <c r="P784" s="28"/>
      <c r="Q784" s="28"/>
      <c r="R784" s="35"/>
      <c r="S784" s="28"/>
    </row>
    <row r="785" customFormat="false" ht="15" hidden="false" customHeight="false" outlineLevel="0" collapsed="false">
      <c r="A785" s="34" t="str">
        <f aca="false">IF(E785="","",ROW()-3)</f>
        <v/>
      </c>
      <c r="B785" s="35"/>
      <c r="C785" s="28"/>
      <c r="D785" s="28"/>
      <c r="E785" s="28"/>
      <c r="F785" s="28"/>
      <c r="G785" s="32" t="str">
        <f aca="false">IF(E785="","",IFERROR(INDEX(Товары!$D$4:$D$200,MATCH(E785,Товары!$B$4:$B$200,0)),0))</f>
        <v/>
      </c>
      <c r="H785" s="29"/>
      <c r="I785" s="32" t="str">
        <f aca="false">IF(OR(E785="",F785=""),"",F785*G785-N(H785))</f>
        <v/>
      </c>
      <c r="J785" s="29"/>
      <c r="K785" s="32" t="str">
        <f aca="false">IF(AND(I785="",N(J785)=0),"",N(I785)+N(J785))</f>
        <v/>
      </c>
      <c r="L785" s="32" t="str">
        <f aca="false">IF(OR(E785="",F785=""),"",F785*IFERROR(INDEX(Товары!$C$4:$C$200,MATCH(E785,Товары!$B$4:$B$200,0)),0))</f>
        <v/>
      </c>
      <c r="M785" s="32" t="str">
        <f aca="false">IF(I785="","",I785-L785)</f>
        <v/>
      </c>
      <c r="N785" s="28"/>
      <c r="O785" s="28"/>
      <c r="P785" s="28"/>
      <c r="Q785" s="28"/>
      <c r="R785" s="35"/>
      <c r="S785" s="28"/>
    </row>
    <row r="786" customFormat="false" ht="15" hidden="false" customHeight="false" outlineLevel="0" collapsed="false">
      <c r="A786" s="34" t="str">
        <f aca="false">IF(E786="","",ROW()-3)</f>
        <v/>
      </c>
      <c r="B786" s="35"/>
      <c r="C786" s="28"/>
      <c r="D786" s="28"/>
      <c r="E786" s="28"/>
      <c r="F786" s="28"/>
      <c r="G786" s="32" t="str">
        <f aca="false">IF(E786="","",IFERROR(INDEX(Товары!$D$4:$D$200,MATCH(E786,Товары!$B$4:$B$200,0)),0))</f>
        <v/>
      </c>
      <c r="H786" s="29"/>
      <c r="I786" s="32" t="str">
        <f aca="false">IF(OR(E786="",F786=""),"",F786*G786-N(H786))</f>
        <v/>
      </c>
      <c r="J786" s="29"/>
      <c r="K786" s="32" t="str">
        <f aca="false">IF(AND(I786="",N(J786)=0),"",N(I786)+N(J786))</f>
        <v/>
      </c>
      <c r="L786" s="32" t="str">
        <f aca="false">IF(OR(E786="",F786=""),"",F786*IFERROR(INDEX(Товары!$C$4:$C$200,MATCH(E786,Товары!$B$4:$B$200,0)),0))</f>
        <v/>
      </c>
      <c r="M786" s="32" t="str">
        <f aca="false">IF(I786="","",I786-L786)</f>
        <v/>
      </c>
      <c r="N786" s="28"/>
      <c r="O786" s="28"/>
      <c r="P786" s="28"/>
      <c r="Q786" s="28"/>
      <c r="R786" s="35"/>
      <c r="S786" s="28"/>
    </row>
    <row r="787" customFormat="false" ht="15" hidden="false" customHeight="false" outlineLevel="0" collapsed="false">
      <c r="A787" s="34" t="str">
        <f aca="false">IF(E787="","",ROW()-3)</f>
        <v/>
      </c>
      <c r="B787" s="35"/>
      <c r="C787" s="28"/>
      <c r="D787" s="28"/>
      <c r="E787" s="28"/>
      <c r="F787" s="28"/>
      <c r="G787" s="32" t="str">
        <f aca="false">IF(E787="","",IFERROR(INDEX(Товары!$D$4:$D$200,MATCH(E787,Товары!$B$4:$B$200,0)),0))</f>
        <v/>
      </c>
      <c r="H787" s="29"/>
      <c r="I787" s="32" t="str">
        <f aca="false">IF(OR(E787="",F787=""),"",F787*G787-N(H787))</f>
        <v/>
      </c>
      <c r="J787" s="29"/>
      <c r="K787" s="32" t="str">
        <f aca="false">IF(AND(I787="",N(J787)=0),"",N(I787)+N(J787))</f>
        <v/>
      </c>
      <c r="L787" s="32" t="str">
        <f aca="false">IF(OR(E787="",F787=""),"",F787*IFERROR(INDEX(Товары!$C$4:$C$200,MATCH(E787,Товары!$B$4:$B$200,0)),0))</f>
        <v/>
      </c>
      <c r="M787" s="32" t="str">
        <f aca="false">IF(I787="","",I787-L787)</f>
        <v/>
      </c>
      <c r="N787" s="28"/>
      <c r="O787" s="28"/>
      <c r="P787" s="28"/>
      <c r="Q787" s="28"/>
      <c r="R787" s="35"/>
      <c r="S787" s="28"/>
    </row>
    <row r="788" customFormat="false" ht="15" hidden="false" customHeight="false" outlineLevel="0" collapsed="false">
      <c r="A788" s="34" t="str">
        <f aca="false">IF(E788="","",ROW()-3)</f>
        <v/>
      </c>
      <c r="B788" s="35"/>
      <c r="C788" s="28"/>
      <c r="D788" s="28"/>
      <c r="E788" s="28"/>
      <c r="F788" s="28"/>
      <c r="G788" s="32" t="str">
        <f aca="false">IF(E788="","",IFERROR(INDEX(Товары!$D$4:$D$200,MATCH(E788,Товары!$B$4:$B$200,0)),0))</f>
        <v/>
      </c>
      <c r="H788" s="29"/>
      <c r="I788" s="32" t="str">
        <f aca="false">IF(OR(E788="",F788=""),"",F788*G788-N(H788))</f>
        <v/>
      </c>
      <c r="J788" s="29"/>
      <c r="K788" s="32" t="str">
        <f aca="false">IF(AND(I788="",N(J788)=0),"",N(I788)+N(J788))</f>
        <v/>
      </c>
      <c r="L788" s="32" t="str">
        <f aca="false">IF(OR(E788="",F788=""),"",F788*IFERROR(INDEX(Товары!$C$4:$C$200,MATCH(E788,Товары!$B$4:$B$200,0)),0))</f>
        <v/>
      </c>
      <c r="M788" s="32" t="str">
        <f aca="false">IF(I788="","",I788-L788)</f>
        <v/>
      </c>
      <c r="N788" s="28"/>
      <c r="O788" s="28"/>
      <c r="P788" s="28"/>
      <c r="Q788" s="28"/>
      <c r="R788" s="35"/>
      <c r="S788" s="28"/>
    </row>
    <row r="789" customFormat="false" ht="15" hidden="false" customHeight="false" outlineLevel="0" collapsed="false">
      <c r="A789" s="34" t="str">
        <f aca="false">IF(E789="","",ROW()-3)</f>
        <v/>
      </c>
      <c r="B789" s="35"/>
      <c r="C789" s="28"/>
      <c r="D789" s="28"/>
      <c r="E789" s="28"/>
      <c r="F789" s="28"/>
      <c r="G789" s="32" t="str">
        <f aca="false">IF(E789="","",IFERROR(INDEX(Товары!$D$4:$D$200,MATCH(E789,Товары!$B$4:$B$200,0)),0))</f>
        <v/>
      </c>
      <c r="H789" s="29"/>
      <c r="I789" s="32" t="str">
        <f aca="false">IF(OR(E789="",F789=""),"",F789*G789-N(H789))</f>
        <v/>
      </c>
      <c r="J789" s="29"/>
      <c r="K789" s="32" t="str">
        <f aca="false">IF(AND(I789="",N(J789)=0),"",N(I789)+N(J789))</f>
        <v/>
      </c>
      <c r="L789" s="32" t="str">
        <f aca="false">IF(OR(E789="",F789=""),"",F789*IFERROR(INDEX(Товары!$C$4:$C$200,MATCH(E789,Товары!$B$4:$B$200,0)),0))</f>
        <v/>
      </c>
      <c r="M789" s="32" t="str">
        <f aca="false">IF(I789="","",I789-L789)</f>
        <v/>
      </c>
      <c r="N789" s="28"/>
      <c r="O789" s="28"/>
      <c r="P789" s="28"/>
      <c r="Q789" s="28"/>
      <c r="R789" s="35"/>
      <c r="S789" s="28"/>
    </row>
    <row r="790" customFormat="false" ht="15" hidden="false" customHeight="false" outlineLevel="0" collapsed="false">
      <c r="A790" s="34" t="str">
        <f aca="false">IF(E790="","",ROW()-3)</f>
        <v/>
      </c>
      <c r="B790" s="35"/>
      <c r="C790" s="28"/>
      <c r="D790" s="28"/>
      <c r="E790" s="28"/>
      <c r="F790" s="28"/>
      <c r="G790" s="32" t="str">
        <f aca="false">IF(E790="","",IFERROR(INDEX(Товары!$D$4:$D$200,MATCH(E790,Товары!$B$4:$B$200,0)),0))</f>
        <v/>
      </c>
      <c r="H790" s="29"/>
      <c r="I790" s="32" t="str">
        <f aca="false">IF(OR(E790="",F790=""),"",F790*G790-N(H790))</f>
        <v/>
      </c>
      <c r="J790" s="29"/>
      <c r="K790" s="32" t="str">
        <f aca="false">IF(AND(I790="",N(J790)=0),"",N(I790)+N(J790))</f>
        <v/>
      </c>
      <c r="L790" s="32" t="str">
        <f aca="false">IF(OR(E790="",F790=""),"",F790*IFERROR(INDEX(Товары!$C$4:$C$200,MATCH(E790,Товары!$B$4:$B$200,0)),0))</f>
        <v/>
      </c>
      <c r="M790" s="32" t="str">
        <f aca="false">IF(I790="","",I790-L790)</f>
        <v/>
      </c>
      <c r="N790" s="28"/>
      <c r="O790" s="28"/>
      <c r="P790" s="28"/>
      <c r="Q790" s="28"/>
      <c r="R790" s="35"/>
      <c r="S790" s="28"/>
    </row>
    <row r="791" customFormat="false" ht="15" hidden="false" customHeight="false" outlineLevel="0" collapsed="false">
      <c r="A791" s="34" t="str">
        <f aca="false">IF(E791="","",ROW()-3)</f>
        <v/>
      </c>
      <c r="B791" s="35"/>
      <c r="C791" s="28"/>
      <c r="D791" s="28"/>
      <c r="E791" s="28"/>
      <c r="F791" s="28"/>
      <c r="G791" s="32" t="str">
        <f aca="false">IF(E791="","",IFERROR(INDEX(Товары!$D$4:$D$200,MATCH(E791,Товары!$B$4:$B$200,0)),0))</f>
        <v/>
      </c>
      <c r="H791" s="29"/>
      <c r="I791" s="32" t="str">
        <f aca="false">IF(OR(E791="",F791=""),"",F791*G791-N(H791))</f>
        <v/>
      </c>
      <c r="J791" s="29"/>
      <c r="K791" s="32" t="str">
        <f aca="false">IF(AND(I791="",N(J791)=0),"",N(I791)+N(J791))</f>
        <v/>
      </c>
      <c r="L791" s="32" t="str">
        <f aca="false">IF(OR(E791="",F791=""),"",F791*IFERROR(INDEX(Товары!$C$4:$C$200,MATCH(E791,Товары!$B$4:$B$200,0)),0))</f>
        <v/>
      </c>
      <c r="M791" s="32" t="str">
        <f aca="false">IF(I791="","",I791-L791)</f>
        <v/>
      </c>
      <c r="N791" s="28"/>
      <c r="O791" s="28"/>
      <c r="P791" s="28"/>
      <c r="Q791" s="28"/>
      <c r="R791" s="35"/>
      <c r="S791" s="28"/>
    </row>
    <row r="792" customFormat="false" ht="15" hidden="false" customHeight="false" outlineLevel="0" collapsed="false">
      <c r="A792" s="34" t="str">
        <f aca="false">IF(E792="","",ROW()-3)</f>
        <v/>
      </c>
      <c r="B792" s="35"/>
      <c r="C792" s="28"/>
      <c r="D792" s="28"/>
      <c r="E792" s="28"/>
      <c r="F792" s="28"/>
      <c r="G792" s="32" t="str">
        <f aca="false">IF(E792="","",IFERROR(INDEX(Товары!$D$4:$D$200,MATCH(E792,Товары!$B$4:$B$200,0)),0))</f>
        <v/>
      </c>
      <c r="H792" s="29"/>
      <c r="I792" s="32" t="str">
        <f aca="false">IF(OR(E792="",F792=""),"",F792*G792-N(H792))</f>
        <v/>
      </c>
      <c r="J792" s="29"/>
      <c r="K792" s="32" t="str">
        <f aca="false">IF(AND(I792="",N(J792)=0),"",N(I792)+N(J792))</f>
        <v/>
      </c>
      <c r="L792" s="32" t="str">
        <f aca="false">IF(OR(E792="",F792=""),"",F792*IFERROR(INDEX(Товары!$C$4:$C$200,MATCH(E792,Товары!$B$4:$B$200,0)),0))</f>
        <v/>
      </c>
      <c r="M792" s="32" t="str">
        <f aca="false">IF(I792="","",I792-L792)</f>
        <v/>
      </c>
      <c r="N792" s="28"/>
      <c r="O792" s="28"/>
      <c r="P792" s="28"/>
      <c r="Q792" s="28"/>
      <c r="R792" s="35"/>
      <c r="S792" s="28"/>
    </row>
    <row r="793" customFormat="false" ht="15" hidden="false" customHeight="false" outlineLevel="0" collapsed="false">
      <c r="A793" s="34" t="str">
        <f aca="false">IF(E793="","",ROW()-3)</f>
        <v/>
      </c>
      <c r="B793" s="35"/>
      <c r="C793" s="28"/>
      <c r="D793" s="28"/>
      <c r="E793" s="28"/>
      <c r="F793" s="28"/>
      <c r="G793" s="32" t="str">
        <f aca="false">IF(E793="","",IFERROR(INDEX(Товары!$D$4:$D$200,MATCH(E793,Товары!$B$4:$B$200,0)),0))</f>
        <v/>
      </c>
      <c r="H793" s="29"/>
      <c r="I793" s="32" t="str">
        <f aca="false">IF(OR(E793="",F793=""),"",F793*G793-N(H793))</f>
        <v/>
      </c>
      <c r="J793" s="29"/>
      <c r="K793" s="32" t="str">
        <f aca="false">IF(AND(I793="",N(J793)=0),"",N(I793)+N(J793))</f>
        <v/>
      </c>
      <c r="L793" s="32" t="str">
        <f aca="false">IF(OR(E793="",F793=""),"",F793*IFERROR(INDEX(Товары!$C$4:$C$200,MATCH(E793,Товары!$B$4:$B$200,0)),0))</f>
        <v/>
      </c>
      <c r="M793" s="32" t="str">
        <f aca="false">IF(I793="","",I793-L793)</f>
        <v/>
      </c>
      <c r="N793" s="28"/>
      <c r="O793" s="28"/>
      <c r="P793" s="28"/>
      <c r="Q793" s="28"/>
      <c r="R793" s="35"/>
      <c r="S793" s="28"/>
    </row>
    <row r="794" customFormat="false" ht="15" hidden="false" customHeight="false" outlineLevel="0" collapsed="false">
      <c r="A794" s="34" t="str">
        <f aca="false">IF(E794="","",ROW()-3)</f>
        <v/>
      </c>
      <c r="B794" s="35"/>
      <c r="C794" s="28"/>
      <c r="D794" s="28"/>
      <c r="E794" s="28"/>
      <c r="F794" s="28"/>
      <c r="G794" s="32" t="str">
        <f aca="false">IF(E794="","",IFERROR(INDEX(Товары!$D$4:$D$200,MATCH(E794,Товары!$B$4:$B$200,0)),0))</f>
        <v/>
      </c>
      <c r="H794" s="29"/>
      <c r="I794" s="32" t="str">
        <f aca="false">IF(OR(E794="",F794=""),"",F794*G794-N(H794))</f>
        <v/>
      </c>
      <c r="J794" s="29"/>
      <c r="K794" s="32" t="str">
        <f aca="false">IF(AND(I794="",N(J794)=0),"",N(I794)+N(J794))</f>
        <v/>
      </c>
      <c r="L794" s="32" t="str">
        <f aca="false">IF(OR(E794="",F794=""),"",F794*IFERROR(INDEX(Товары!$C$4:$C$200,MATCH(E794,Товары!$B$4:$B$200,0)),0))</f>
        <v/>
      </c>
      <c r="M794" s="32" t="str">
        <f aca="false">IF(I794="","",I794-L794)</f>
        <v/>
      </c>
      <c r="N794" s="28"/>
      <c r="O794" s="28"/>
      <c r="P794" s="28"/>
      <c r="Q794" s="28"/>
      <c r="R794" s="35"/>
      <c r="S794" s="28"/>
    </row>
    <row r="795" customFormat="false" ht="15" hidden="false" customHeight="false" outlineLevel="0" collapsed="false">
      <c r="A795" s="34" t="str">
        <f aca="false">IF(E795="","",ROW()-3)</f>
        <v/>
      </c>
      <c r="B795" s="35"/>
      <c r="C795" s="28"/>
      <c r="D795" s="28"/>
      <c r="E795" s="28"/>
      <c r="F795" s="28"/>
      <c r="G795" s="32" t="str">
        <f aca="false">IF(E795="","",IFERROR(INDEX(Товары!$D$4:$D$200,MATCH(E795,Товары!$B$4:$B$200,0)),0))</f>
        <v/>
      </c>
      <c r="H795" s="29"/>
      <c r="I795" s="32" t="str">
        <f aca="false">IF(OR(E795="",F795=""),"",F795*G795-N(H795))</f>
        <v/>
      </c>
      <c r="J795" s="29"/>
      <c r="K795" s="32" t="str">
        <f aca="false">IF(AND(I795="",N(J795)=0),"",N(I795)+N(J795))</f>
        <v/>
      </c>
      <c r="L795" s="32" t="str">
        <f aca="false">IF(OR(E795="",F795=""),"",F795*IFERROR(INDEX(Товары!$C$4:$C$200,MATCH(E795,Товары!$B$4:$B$200,0)),0))</f>
        <v/>
      </c>
      <c r="M795" s="32" t="str">
        <f aca="false">IF(I795="","",I795-L795)</f>
        <v/>
      </c>
      <c r="N795" s="28"/>
      <c r="O795" s="28"/>
      <c r="P795" s="28"/>
      <c r="Q795" s="28"/>
      <c r="R795" s="35"/>
      <c r="S795" s="28"/>
    </row>
    <row r="796" customFormat="false" ht="15" hidden="false" customHeight="false" outlineLevel="0" collapsed="false">
      <c r="A796" s="34" t="str">
        <f aca="false">IF(E796="","",ROW()-3)</f>
        <v/>
      </c>
      <c r="B796" s="35"/>
      <c r="C796" s="28"/>
      <c r="D796" s="28"/>
      <c r="E796" s="28"/>
      <c r="F796" s="28"/>
      <c r="G796" s="32" t="str">
        <f aca="false">IF(E796="","",IFERROR(INDEX(Товары!$D$4:$D$200,MATCH(E796,Товары!$B$4:$B$200,0)),0))</f>
        <v/>
      </c>
      <c r="H796" s="29"/>
      <c r="I796" s="32" t="str">
        <f aca="false">IF(OR(E796="",F796=""),"",F796*G796-N(H796))</f>
        <v/>
      </c>
      <c r="J796" s="29"/>
      <c r="K796" s="32" t="str">
        <f aca="false">IF(AND(I796="",N(J796)=0),"",N(I796)+N(J796))</f>
        <v/>
      </c>
      <c r="L796" s="32" t="str">
        <f aca="false">IF(OR(E796="",F796=""),"",F796*IFERROR(INDEX(Товары!$C$4:$C$200,MATCH(E796,Товары!$B$4:$B$200,0)),0))</f>
        <v/>
      </c>
      <c r="M796" s="32" t="str">
        <f aca="false">IF(I796="","",I796-L796)</f>
        <v/>
      </c>
      <c r="N796" s="28"/>
      <c r="O796" s="28"/>
      <c r="P796" s="28"/>
      <c r="Q796" s="28"/>
      <c r="R796" s="35"/>
      <c r="S796" s="28"/>
    </row>
    <row r="797" customFormat="false" ht="15" hidden="false" customHeight="false" outlineLevel="0" collapsed="false">
      <c r="A797" s="34" t="str">
        <f aca="false">IF(E797="","",ROW()-3)</f>
        <v/>
      </c>
      <c r="B797" s="35"/>
      <c r="C797" s="28"/>
      <c r="D797" s="28"/>
      <c r="E797" s="28"/>
      <c r="F797" s="28"/>
      <c r="G797" s="32" t="str">
        <f aca="false">IF(E797="","",IFERROR(INDEX(Товары!$D$4:$D$200,MATCH(E797,Товары!$B$4:$B$200,0)),0))</f>
        <v/>
      </c>
      <c r="H797" s="29"/>
      <c r="I797" s="32" t="str">
        <f aca="false">IF(OR(E797="",F797=""),"",F797*G797-N(H797))</f>
        <v/>
      </c>
      <c r="J797" s="29"/>
      <c r="K797" s="32" t="str">
        <f aca="false">IF(AND(I797="",N(J797)=0),"",N(I797)+N(J797))</f>
        <v/>
      </c>
      <c r="L797" s="32" t="str">
        <f aca="false">IF(OR(E797="",F797=""),"",F797*IFERROR(INDEX(Товары!$C$4:$C$200,MATCH(E797,Товары!$B$4:$B$200,0)),0))</f>
        <v/>
      </c>
      <c r="M797" s="32" t="str">
        <f aca="false">IF(I797="","",I797-L797)</f>
        <v/>
      </c>
      <c r="N797" s="28"/>
      <c r="O797" s="28"/>
      <c r="P797" s="28"/>
      <c r="Q797" s="28"/>
      <c r="R797" s="35"/>
      <c r="S797" s="28"/>
    </row>
    <row r="798" customFormat="false" ht="15" hidden="false" customHeight="false" outlineLevel="0" collapsed="false">
      <c r="A798" s="34" t="str">
        <f aca="false">IF(E798="","",ROW()-3)</f>
        <v/>
      </c>
      <c r="B798" s="35"/>
      <c r="C798" s="28"/>
      <c r="D798" s="28"/>
      <c r="E798" s="28"/>
      <c r="F798" s="28"/>
      <c r="G798" s="32" t="str">
        <f aca="false">IF(E798="","",IFERROR(INDEX(Товары!$D$4:$D$200,MATCH(E798,Товары!$B$4:$B$200,0)),0))</f>
        <v/>
      </c>
      <c r="H798" s="29"/>
      <c r="I798" s="32" t="str">
        <f aca="false">IF(OR(E798="",F798=""),"",F798*G798-N(H798))</f>
        <v/>
      </c>
      <c r="J798" s="29"/>
      <c r="K798" s="32" t="str">
        <f aca="false">IF(AND(I798="",N(J798)=0),"",N(I798)+N(J798))</f>
        <v/>
      </c>
      <c r="L798" s="32" t="str">
        <f aca="false">IF(OR(E798="",F798=""),"",F798*IFERROR(INDEX(Товары!$C$4:$C$200,MATCH(E798,Товары!$B$4:$B$200,0)),0))</f>
        <v/>
      </c>
      <c r="M798" s="32" t="str">
        <f aca="false">IF(I798="","",I798-L798)</f>
        <v/>
      </c>
      <c r="N798" s="28"/>
      <c r="O798" s="28"/>
      <c r="P798" s="28"/>
      <c r="Q798" s="28"/>
      <c r="R798" s="35"/>
      <c r="S798" s="28"/>
    </row>
    <row r="799" customFormat="false" ht="15" hidden="false" customHeight="false" outlineLevel="0" collapsed="false">
      <c r="A799" s="34" t="str">
        <f aca="false">IF(E799="","",ROW()-3)</f>
        <v/>
      </c>
      <c r="B799" s="35"/>
      <c r="C799" s="28"/>
      <c r="D799" s="28"/>
      <c r="E799" s="28"/>
      <c r="F799" s="28"/>
      <c r="G799" s="32" t="str">
        <f aca="false">IF(E799="","",IFERROR(INDEX(Товары!$D$4:$D$200,MATCH(E799,Товары!$B$4:$B$200,0)),0))</f>
        <v/>
      </c>
      <c r="H799" s="29"/>
      <c r="I799" s="32" t="str">
        <f aca="false">IF(OR(E799="",F799=""),"",F799*G799-N(H799))</f>
        <v/>
      </c>
      <c r="J799" s="29"/>
      <c r="K799" s="32" t="str">
        <f aca="false">IF(AND(I799="",N(J799)=0),"",N(I799)+N(J799))</f>
        <v/>
      </c>
      <c r="L799" s="32" t="str">
        <f aca="false">IF(OR(E799="",F799=""),"",F799*IFERROR(INDEX(Товары!$C$4:$C$200,MATCH(E799,Товары!$B$4:$B$200,0)),0))</f>
        <v/>
      </c>
      <c r="M799" s="32" t="str">
        <f aca="false">IF(I799="","",I799-L799)</f>
        <v/>
      </c>
      <c r="N799" s="28"/>
      <c r="O799" s="28"/>
      <c r="P799" s="28"/>
      <c r="Q799" s="28"/>
      <c r="R799" s="35"/>
      <c r="S799" s="28"/>
    </row>
    <row r="800" customFormat="false" ht="15" hidden="false" customHeight="false" outlineLevel="0" collapsed="false">
      <c r="A800" s="34" t="str">
        <f aca="false">IF(E800="","",ROW()-3)</f>
        <v/>
      </c>
      <c r="B800" s="35"/>
      <c r="C800" s="28"/>
      <c r="D800" s="28"/>
      <c r="E800" s="28"/>
      <c r="F800" s="28"/>
      <c r="G800" s="32" t="str">
        <f aca="false">IF(E800="","",IFERROR(INDEX(Товары!$D$4:$D$200,MATCH(E800,Товары!$B$4:$B$200,0)),0))</f>
        <v/>
      </c>
      <c r="H800" s="29"/>
      <c r="I800" s="32" t="str">
        <f aca="false">IF(OR(E800="",F800=""),"",F800*G800-N(H800))</f>
        <v/>
      </c>
      <c r="J800" s="29"/>
      <c r="K800" s="32" t="str">
        <f aca="false">IF(AND(I800="",N(J800)=0),"",N(I800)+N(J800))</f>
        <v/>
      </c>
      <c r="L800" s="32" t="str">
        <f aca="false">IF(OR(E800="",F800=""),"",F800*IFERROR(INDEX(Товары!$C$4:$C$200,MATCH(E800,Товары!$B$4:$B$200,0)),0))</f>
        <v/>
      </c>
      <c r="M800" s="32" t="str">
        <f aca="false">IF(I800="","",I800-L800)</f>
        <v/>
      </c>
      <c r="N800" s="28"/>
      <c r="O800" s="28"/>
      <c r="P800" s="28"/>
      <c r="Q800" s="28"/>
      <c r="R800" s="35"/>
      <c r="S800" s="28"/>
    </row>
    <row r="801" customFormat="false" ht="15" hidden="false" customHeight="false" outlineLevel="0" collapsed="false">
      <c r="A801" s="34" t="str">
        <f aca="false">IF(E801="","",ROW()-3)</f>
        <v/>
      </c>
      <c r="B801" s="35"/>
      <c r="C801" s="28"/>
      <c r="D801" s="28"/>
      <c r="E801" s="28"/>
      <c r="F801" s="28"/>
      <c r="G801" s="32" t="str">
        <f aca="false">IF(E801="","",IFERROR(INDEX(Товары!$D$4:$D$200,MATCH(E801,Товары!$B$4:$B$200,0)),0))</f>
        <v/>
      </c>
      <c r="H801" s="29"/>
      <c r="I801" s="32" t="str">
        <f aca="false">IF(OR(E801="",F801=""),"",F801*G801-N(H801))</f>
        <v/>
      </c>
      <c r="J801" s="29"/>
      <c r="K801" s="32" t="str">
        <f aca="false">IF(AND(I801="",N(J801)=0),"",N(I801)+N(J801))</f>
        <v/>
      </c>
      <c r="L801" s="32" t="str">
        <f aca="false">IF(OR(E801="",F801=""),"",F801*IFERROR(INDEX(Товары!$C$4:$C$200,MATCH(E801,Товары!$B$4:$B$200,0)),0))</f>
        <v/>
      </c>
      <c r="M801" s="32" t="str">
        <f aca="false">IF(I801="","",I801-L801)</f>
        <v/>
      </c>
      <c r="N801" s="28"/>
      <c r="O801" s="28"/>
      <c r="P801" s="28"/>
      <c r="Q801" s="28"/>
      <c r="R801" s="35"/>
      <c r="S801" s="28"/>
    </row>
    <row r="802" customFormat="false" ht="15" hidden="false" customHeight="false" outlineLevel="0" collapsed="false">
      <c r="A802" s="34" t="str">
        <f aca="false">IF(E802="","",ROW()-3)</f>
        <v/>
      </c>
      <c r="B802" s="35"/>
      <c r="C802" s="28"/>
      <c r="D802" s="28"/>
      <c r="E802" s="28"/>
      <c r="F802" s="28"/>
      <c r="G802" s="32" t="str">
        <f aca="false">IF(E802="","",IFERROR(INDEX(Товары!$D$4:$D$200,MATCH(E802,Товары!$B$4:$B$200,0)),0))</f>
        <v/>
      </c>
      <c r="H802" s="29"/>
      <c r="I802" s="32" t="str">
        <f aca="false">IF(OR(E802="",F802=""),"",F802*G802-N(H802))</f>
        <v/>
      </c>
      <c r="J802" s="29"/>
      <c r="K802" s="32" t="str">
        <f aca="false">IF(AND(I802="",N(J802)=0),"",N(I802)+N(J802))</f>
        <v/>
      </c>
      <c r="L802" s="32" t="str">
        <f aca="false">IF(OR(E802="",F802=""),"",F802*IFERROR(INDEX(Товары!$C$4:$C$200,MATCH(E802,Товары!$B$4:$B$200,0)),0))</f>
        <v/>
      </c>
      <c r="M802" s="32" t="str">
        <f aca="false">IF(I802="","",I802-L802)</f>
        <v/>
      </c>
      <c r="N802" s="28"/>
      <c r="O802" s="28"/>
      <c r="P802" s="28"/>
      <c r="Q802" s="28"/>
      <c r="R802" s="35"/>
      <c r="S802" s="28"/>
    </row>
    <row r="803" customFormat="false" ht="15" hidden="false" customHeight="false" outlineLevel="0" collapsed="false">
      <c r="A803" s="34" t="str">
        <f aca="false">IF(E803="","",ROW()-3)</f>
        <v/>
      </c>
      <c r="B803" s="35"/>
      <c r="C803" s="28"/>
      <c r="D803" s="28"/>
      <c r="E803" s="28"/>
      <c r="F803" s="28"/>
      <c r="G803" s="32" t="str">
        <f aca="false">IF(E803="","",IFERROR(INDEX(Товары!$D$4:$D$200,MATCH(E803,Товары!$B$4:$B$200,0)),0))</f>
        <v/>
      </c>
      <c r="H803" s="29"/>
      <c r="I803" s="32" t="str">
        <f aca="false">IF(OR(E803="",F803=""),"",F803*G803-N(H803))</f>
        <v/>
      </c>
      <c r="J803" s="29"/>
      <c r="K803" s="32" t="str">
        <f aca="false">IF(AND(I803="",N(J803)=0),"",N(I803)+N(J803))</f>
        <v/>
      </c>
      <c r="L803" s="32" t="str">
        <f aca="false">IF(OR(E803="",F803=""),"",F803*IFERROR(INDEX(Товары!$C$4:$C$200,MATCH(E803,Товары!$B$4:$B$200,0)),0))</f>
        <v/>
      </c>
      <c r="M803" s="32" t="str">
        <f aca="false">IF(I803="","",I803-L803)</f>
        <v/>
      </c>
      <c r="N803" s="28"/>
      <c r="O803" s="28"/>
      <c r="P803" s="28"/>
      <c r="Q803" s="28"/>
      <c r="R803" s="35"/>
      <c r="S803" s="28"/>
    </row>
    <row r="804" customFormat="false" ht="15" hidden="false" customHeight="false" outlineLevel="0" collapsed="false">
      <c r="A804" s="34" t="str">
        <f aca="false">IF(E804="","",ROW()-3)</f>
        <v/>
      </c>
      <c r="B804" s="35"/>
      <c r="C804" s="28"/>
      <c r="D804" s="28"/>
      <c r="E804" s="28"/>
      <c r="F804" s="28"/>
      <c r="G804" s="32" t="str">
        <f aca="false">IF(E804="","",IFERROR(INDEX(Товары!$D$4:$D$200,MATCH(E804,Товары!$B$4:$B$200,0)),0))</f>
        <v/>
      </c>
      <c r="H804" s="29"/>
      <c r="I804" s="32" t="str">
        <f aca="false">IF(OR(E804="",F804=""),"",F804*G804-N(H804))</f>
        <v/>
      </c>
      <c r="J804" s="29"/>
      <c r="K804" s="32" t="str">
        <f aca="false">IF(AND(I804="",N(J804)=0),"",N(I804)+N(J804))</f>
        <v/>
      </c>
      <c r="L804" s="32" t="str">
        <f aca="false">IF(OR(E804="",F804=""),"",F804*IFERROR(INDEX(Товары!$C$4:$C$200,MATCH(E804,Товары!$B$4:$B$200,0)),0))</f>
        <v/>
      </c>
      <c r="M804" s="32" t="str">
        <f aca="false">IF(I804="","",I804-L804)</f>
        <v/>
      </c>
      <c r="N804" s="28"/>
      <c r="O804" s="28"/>
      <c r="P804" s="28"/>
      <c r="Q804" s="28"/>
      <c r="R804" s="35"/>
      <c r="S804" s="28"/>
    </row>
    <row r="805" customFormat="false" ht="15" hidden="false" customHeight="false" outlineLevel="0" collapsed="false">
      <c r="A805" s="34" t="str">
        <f aca="false">IF(E805="","",ROW()-3)</f>
        <v/>
      </c>
      <c r="B805" s="35"/>
      <c r="C805" s="28"/>
      <c r="D805" s="28"/>
      <c r="E805" s="28"/>
      <c r="F805" s="28"/>
      <c r="G805" s="32" t="str">
        <f aca="false">IF(E805="","",IFERROR(INDEX(Товары!$D$4:$D$200,MATCH(E805,Товары!$B$4:$B$200,0)),0))</f>
        <v/>
      </c>
      <c r="H805" s="29"/>
      <c r="I805" s="32" t="str">
        <f aca="false">IF(OR(E805="",F805=""),"",F805*G805-N(H805))</f>
        <v/>
      </c>
      <c r="J805" s="29"/>
      <c r="K805" s="32" t="str">
        <f aca="false">IF(AND(I805="",N(J805)=0),"",N(I805)+N(J805))</f>
        <v/>
      </c>
      <c r="L805" s="32" t="str">
        <f aca="false">IF(OR(E805="",F805=""),"",F805*IFERROR(INDEX(Товары!$C$4:$C$200,MATCH(E805,Товары!$B$4:$B$200,0)),0))</f>
        <v/>
      </c>
      <c r="M805" s="32" t="str">
        <f aca="false">IF(I805="","",I805-L805)</f>
        <v/>
      </c>
      <c r="N805" s="28"/>
      <c r="O805" s="28"/>
      <c r="P805" s="28"/>
      <c r="Q805" s="28"/>
      <c r="R805" s="35"/>
      <c r="S805" s="28"/>
    </row>
    <row r="806" customFormat="false" ht="15" hidden="false" customHeight="false" outlineLevel="0" collapsed="false">
      <c r="A806" s="34" t="str">
        <f aca="false">IF(E806="","",ROW()-3)</f>
        <v/>
      </c>
      <c r="B806" s="35"/>
      <c r="C806" s="28"/>
      <c r="D806" s="28"/>
      <c r="E806" s="28"/>
      <c r="F806" s="28"/>
      <c r="G806" s="32" t="str">
        <f aca="false">IF(E806="","",IFERROR(INDEX(Товары!$D$4:$D$200,MATCH(E806,Товары!$B$4:$B$200,0)),0))</f>
        <v/>
      </c>
      <c r="H806" s="29"/>
      <c r="I806" s="32" t="str">
        <f aca="false">IF(OR(E806="",F806=""),"",F806*G806-N(H806))</f>
        <v/>
      </c>
      <c r="J806" s="29"/>
      <c r="K806" s="32" t="str">
        <f aca="false">IF(AND(I806="",N(J806)=0),"",N(I806)+N(J806))</f>
        <v/>
      </c>
      <c r="L806" s="32" t="str">
        <f aca="false">IF(OR(E806="",F806=""),"",F806*IFERROR(INDEX(Товары!$C$4:$C$200,MATCH(E806,Товары!$B$4:$B$200,0)),0))</f>
        <v/>
      </c>
      <c r="M806" s="32" t="str">
        <f aca="false">IF(I806="","",I806-L806)</f>
        <v/>
      </c>
      <c r="N806" s="28"/>
      <c r="O806" s="28"/>
      <c r="P806" s="28"/>
      <c r="Q806" s="28"/>
      <c r="R806" s="35"/>
      <c r="S806" s="28"/>
    </row>
    <row r="807" customFormat="false" ht="15" hidden="false" customHeight="false" outlineLevel="0" collapsed="false">
      <c r="A807" s="34" t="str">
        <f aca="false">IF(E807="","",ROW()-3)</f>
        <v/>
      </c>
      <c r="B807" s="35"/>
      <c r="C807" s="28"/>
      <c r="D807" s="28"/>
      <c r="E807" s="28"/>
      <c r="F807" s="28"/>
      <c r="G807" s="32" t="str">
        <f aca="false">IF(E807="","",IFERROR(INDEX(Товары!$D$4:$D$200,MATCH(E807,Товары!$B$4:$B$200,0)),0))</f>
        <v/>
      </c>
      <c r="H807" s="29"/>
      <c r="I807" s="32" t="str">
        <f aca="false">IF(OR(E807="",F807=""),"",F807*G807-N(H807))</f>
        <v/>
      </c>
      <c r="J807" s="29"/>
      <c r="K807" s="32" t="str">
        <f aca="false">IF(AND(I807="",N(J807)=0),"",N(I807)+N(J807))</f>
        <v/>
      </c>
      <c r="L807" s="32" t="str">
        <f aca="false">IF(OR(E807="",F807=""),"",F807*IFERROR(INDEX(Товары!$C$4:$C$200,MATCH(E807,Товары!$B$4:$B$200,0)),0))</f>
        <v/>
      </c>
      <c r="M807" s="32" t="str">
        <f aca="false">IF(I807="","",I807-L807)</f>
        <v/>
      </c>
      <c r="N807" s="28"/>
      <c r="O807" s="28"/>
      <c r="P807" s="28"/>
      <c r="Q807" s="28"/>
      <c r="R807" s="35"/>
      <c r="S807" s="28"/>
    </row>
    <row r="808" customFormat="false" ht="15" hidden="false" customHeight="false" outlineLevel="0" collapsed="false">
      <c r="A808" s="34" t="str">
        <f aca="false">IF(E808="","",ROW()-3)</f>
        <v/>
      </c>
      <c r="B808" s="35"/>
      <c r="C808" s="28"/>
      <c r="D808" s="28"/>
      <c r="E808" s="28"/>
      <c r="F808" s="28"/>
      <c r="G808" s="32" t="str">
        <f aca="false">IF(E808="","",IFERROR(INDEX(Товары!$D$4:$D$200,MATCH(E808,Товары!$B$4:$B$200,0)),0))</f>
        <v/>
      </c>
      <c r="H808" s="29"/>
      <c r="I808" s="32" t="str">
        <f aca="false">IF(OR(E808="",F808=""),"",F808*G808-N(H808))</f>
        <v/>
      </c>
      <c r="J808" s="29"/>
      <c r="K808" s="32" t="str">
        <f aca="false">IF(AND(I808="",N(J808)=0),"",N(I808)+N(J808))</f>
        <v/>
      </c>
      <c r="L808" s="32" t="str">
        <f aca="false">IF(OR(E808="",F808=""),"",F808*IFERROR(INDEX(Товары!$C$4:$C$200,MATCH(E808,Товары!$B$4:$B$200,0)),0))</f>
        <v/>
      </c>
      <c r="M808" s="32" t="str">
        <f aca="false">IF(I808="","",I808-L808)</f>
        <v/>
      </c>
      <c r="N808" s="28"/>
      <c r="O808" s="28"/>
      <c r="P808" s="28"/>
      <c r="Q808" s="28"/>
      <c r="R808" s="35"/>
      <c r="S808" s="28"/>
    </row>
    <row r="809" customFormat="false" ht="15" hidden="false" customHeight="false" outlineLevel="0" collapsed="false">
      <c r="A809" s="34" t="str">
        <f aca="false">IF(E809="","",ROW()-3)</f>
        <v/>
      </c>
      <c r="B809" s="35"/>
      <c r="C809" s="28"/>
      <c r="D809" s="28"/>
      <c r="E809" s="28"/>
      <c r="F809" s="28"/>
      <c r="G809" s="32" t="str">
        <f aca="false">IF(E809="","",IFERROR(INDEX(Товары!$D$4:$D$200,MATCH(E809,Товары!$B$4:$B$200,0)),0))</f>
        <v/>
      </c>
      <c r="H809" s="29"/>
      <c r="I809" s="32" t="str">
        <f aca="false">IF(OR(E809="",F809=""),"",F809*G809-N(H809))</f>
        <v/>
      </c>
      <c r="J809" s="29"/>
      <c r="K809" s="32" t="str">
        <f aca="false">IF(AND(I809="",N(J809)=0),"",N(I809)+N(J809))</f>
        <v/>
      </c>
      <c r="L809" s="32" t="str">
        <f aca="false">IF(OR(E809="",F809=""),"",F809*IFERROR(INDEX(Товары!$C$4:$C$200,MATCH(E809,Товары!$B$4:$B$200,0)),0))</f>
        <v/>
      </c>
      <c r="M809" s="32" t="str">
        <f aca="false">IF(I809="","",I809-L809)</f>
        <v/>
      </c>
      <c r="N809" s="28"/>
      <c r="O809" s="28"/>
      <c r="P809" s="28"/>
      <c r="Q809" s="28"/>
      <c r="R809" s="35"/>
      <c r="S809" s="28"/>
    </row>
    <row r="810" customFormat="false" ht="15" hidden="false" customHeight="false" outlineLevel="0" collapsed="false">
      <c r="A810" s="34" t="str">
        <f aca="false">IF(E810="","",ROW()-3)</f>
        <v/>
      </c>
      <c r="B810" s="35"/>
      <c r="C810" s="28"/>
      <c r="D810" s="28"/>
      <c r="E810" s="28"/>
      <c r="F810" s="28"/>
      <c r="G810" s="32" t="str">
        <f aca="false">IF(E810="","",IFERROR(INDEX(Товары!$D$4:$D$200,MATCH(E810,Товары!$B$4:$B$200,0)),0))</f>
        <v/>
      </c>
      <c r="H810" s="29"/>
      <c r="I810" s="32" t="str">
        <f aca="false">IF(OR(E810="",F810=""),"",F810*G810-N(H810))</f>
        <v/>
      </c>
      <c r="J810" s="29"/>
      <c r="K810" s="32" t="str">
        <f aca="false">IF(AND(I810="",N(J810)=0),"",N(I810)+N(J810))</f>
        <v/>
      </c>
      <c r="L810" s="32" t="str">
        <f aca="false">IF(OR(E810="",F810=""),"",F810*IFERROR(INDEX(Товары!$C$4:$C$200,MATCH(E810,Товары!$B$4:$B$200,0)),0))</f>
        <v/>
      </c>
      <c r="M810" s="32" t="str">
        <f aca="false">IF(I810="","",I810-L810)</f>
        <v/>
      </c>
      <c r="N810" s="28"/>
      <c r="O810" s="28"/>
      <c r="P810" s="28"/>
      <c r="Q810" s="28"/>
      <c r="R810" s="35"/>
      <c r="S810" s="28"/>
    </row>
    <row r="811" customFormat="false" ht="15" hidden="false" customHeight="false" outlineLevel="0" collapsed="false">
      <c r="A811" s="34" t="str">
        <f aca="false">IF(E811="","",ROW()-3)</f>
        <v/>
      </c>
      <c r="B811" s="35"/>
      <c r="C811" s="28"/>
      <c r="D811" s="28"/>
      <c r="E811" s="28"/>
      <c r="F811" s="28"/>
      <c r="G811" s="32" t="str">
        <f aca="false">IF(E811="","",IFERROR(INDEX(Товары!$D$4:$D$200,MATCH(E811,Товары!$B$4:$B$200,0)),0))</f>
        <v/>
      </c>
      <c r="H811" s="29"/>
      <c r="I811" s="32" t="str">
        <f aca="false">IF(OR(E811="",F811=""),"",F811*G811-N(H811))</f>
        <v/>
      </c>
      <c r="J811" s="29"/>
      <c r="K811" s="32" t="str">
        <f aca="false">IF(AND(I811="",N(J811)=0),"",N(I811)+N(J811))</f>
        <v/>
      </c>
      <c r="L811" s="32" t="str">
        <f aca="false">IF(OR(E811="",F811=""),"",F811*IFERROR(INDEX(Товары!$C$4:$C$200,MATCH(E811,Товары!$B$4:$B$200,0)),0))</f>
        <v/>
      </c>
      <c r="M811" s="32" t="str">
        <f aca="false">IF(I811="","",I811-L811)</f>
        <v/>
      </c>
      <c r="N811" s="28"/>
      <c r="O811" s="28"/>
      <c r="P811" s="28"/>
      <c r="Q811" s="28"/>
      <c r="R811" s="35"/>
      <c r="S811" s="28"/>
    </row>
    <row r="812" customFormat="false" ht="15" hidden="false" customHeight="false" outlineLevel="0" collapsed="false">
      <c r="A812" s="34" t="str">
        <f aca="false">IF(E812="","",ROW()-3)</f>
        <v/>
      </c>
      <c r="B812" s="35"/>
      <c r="C812" s="28"/>
      <c r="D812" s="28"/>
      <c r="E812" s="28"/>
      <c r="F812" s="28"/>
      <c r="G812" s="32" t="str">
        <f aca="false">IF(E812="","",IFERROR(INDEX(Товары!$D$4:$D$200,MATCH(E812,Товары!$B$4:$B$200,0)),0))</f>
        <v/>
      </c>
      <c r="H812" s="29"/>
      <c r="I812" s="32" t="str">
        <f aca="false">IF(OR(E812="",F812=""),"",F812*G812-N(H812))</f>
        <v/>
      </c>
      <c r="J812" s="29"/>
      <c r="K812" s="32" t="str">
        <f aca="false">IF(AND(I812="",N(J812)=0),"",N(I812)+N(J812))</f>
        <v/>
      </c>
      <c r="L812" s="32" t="str">
        <f aca="false">IF(OR(E812="",F812=""),"",F812*IFERROR(INDEX(Товары!$C$4:$C$200,MATCH(E812,Товары!$B$4:$B$200,0)),0))</f>
        <v/>
      </c>
      <c r="M812" s="32" t="str">
        <f aca="false">IF(I812="","",I812-L812)</f>
        <v/>
      </c>
      <c r="N812" s="28"/>
      <c r="O812" s="28"/>
      <c r="P812" s="28"/>
      <c r="Q812" s="28"/>
      <c r="R812" s="35"/>
      <c r="S812" s="28"/>
    </row>
    <row r="813" customFormat="false" ht="15" hidden="false" customHeight="false" outlineLevel="0" collapsed="false">
      <c r="A813" s="34" t="str">
        <f aca="false">IF(E813="","",ROW()-3)</f>
        <v/>
      </c>
      <c r="B813" s="35"/>
      <c r="C813" s="28"/>
      <c r="D813" s="28"/>
      <c r="E813" s="28"/>
      <c r="F813" s="28"/>
      <c r="G813" s="32" t="str">
        <f aca="false">IF(E813="","",IFERROR(INDEX(Товары!$D$4:$D$200,MATCH(E813,Товары!$B$4:$B$200,0)),0))</f>
        <v/>
      </c>
      <c r="H813" s="29"/>
      <c r="I813" s="32" t="str">
        <f aca="false">IF(OR(E813="",F813=""),"",F813*G813-N(H813))</f>
        <v/>
      </c>
      <c r="J813" s="29"/>
      <c r="K813" s="32" t="str">
        <f aca="false">IF(AND(I813="",N(J813)=0),"",N(I813)+N(J813))</f>
        <v/>
      </c>
      <c r="L813" s="32" t="str">
        <f aca="false">IF(OR(E813="",F813=""),"",F813*IFERROR(INDEX(Товары!$C$4:$C$200,MATCH(E813,Товары!$B$4:$B$200,0)),0))</f>
        <v/>
      </c>
      <c r="M813" s="32" t="str">
        <f aca="false">IF(I813="","",I813-L813)</f>
        <v/>
      </c>
      <c r="N813" s="28"/>
      <c r="O813" s="28"/>
      <c r="P813" s="28"/>
      <c r="Q813" s="28"/>
      <c r="R813" s="35"/>
      <c r="S813" s="28"/>
    </row>
    <row r="814" customFormat="false" ht="15" hidden="false" customHeight="false" outlineLevel="0" collapsed="false">
      <c r="A814" s="34" t="str">
        <f aca="false">IF(E814="","",ROW()-3)</f>
        <v/>
      </c>
      <c r="B814" s="35"/>
      <c r="C814" s="28"/>
      <c r="D814" s="28"/>
      <c r="E814" s="28"/>
      <c r="F814" s="28"/>
      <c r="G814" s="32" t="str">
        <f aca="false">IF(E814="","",IFERROR(INDEX(Товары!$D$4:$D$200,MATCH(E814,Товары!$B$4:$B$200,0)),0))</f>
        <v/>
      </c>
      <c r="H814" s="29"/>
      <c r="I814" s="32" t="str">
        <f aca="false">IF(OR(E814="",F814=""),"",F814*G814-N(H814))</f>
        <v/>
      </c>
      <c r="J814" s="29"/>
      <c r="K814" s="32" t="str">
        <f aca="false">IF(AND(I814="",N(J814)=0),"",N(I814)+N(J814))</f>
        <v/>
      </c>
      <c r="L814" s="32" t="str">
        <f aca="false">IF(OR(E814="",F814=""),"",F814*IFERROR(INDEX(Товары!$C$4:$C$200,MATCH(E814,Товары!$B$4:$B$200,0)),0))</f>
        <v/>
      </c>
      <c r="M814" s="32" t="str">
        <f aca="false">IF(I814="","",I814-L814)</f>
        <v/>
      </c>
      <c r="N814" s="28"/>
      <c r="O814" s="28"/>
      <c r="P814" s="28"/>
      <c r="Q814" s="28"/>
      <c r="R814" s="35"/>
      <c r="S814" s="28"/>
    </row>
    <row r="815" customFormat="false" ht="15" hidden="false" customHeight="false" outlineLevel="0" collapsed="false">
      <c r="A815" s="34" t="str">
        <f aca="false">IF(E815="","",ROW()-3)</f>
        <v/>
      </c>
      <c r="B815" s="35"/>
      <c r="C815" s="28"/>
      <c r="D815" s="28"/>
      <c r="E815" s="28"/>
      <c r="F815" s="28"/>
      <c r="G815" s="32" t="str">
        <f aca="false">IF(E815="","",IFERROR(INDEX(Товары!$D$4:$D$200,MATCH(E815,Товары!$B$4:$B$200,0)),0))</f>
        <v/>
      </c>
      <c r="H815" s="29"/>
      <c r="I815" s="32" t="str">
        <f aca="false">IF(OR(E815="",F815=""),"",F815*G815-N(H815))</f>
        <v/>
      </c>
      <c r="J815" s="29"/>
      <c r="K815" s="32" t="str">
        <f aca="false">IF(AND(I815="",N(J815)=0),"",N(I815)+N(J815))</f>
        <v/>
      </c>
      <c r="L815" s="32" t="str">
        <f aca="false">IF(OR(E815="",F815=""),"",F815*IFERROR(INDEX(Товары!$C$4:$C$200,MATCH(E815,Товары!$B$4:$B$200,0)),0))</f>
        <v/>
      </c>
      <c r="M815" s="32" t="str">
        <f aca="false">IF(I815="","",I815-L815)</f>
        <v/>
      </c>
      <c r="N815" s="28"/>
      <c r="O815" s="28"/>
      <c r="P815" s="28"/>
      <c r="Q815" s="28"/>
      <c r="R815" s="35"/>
      <c r="S815" s="28"/>
    </row>
    <row r="816" customFormat="false" ht="15" hidden="false" customHeight="false" outlineLevel="0" collapsed="false">
      <c r="A816" s="34" t="str">
        <f aca="false">IF(E816="","",ROW()-3)</f>
        <v/>
      </c>
      <c r="B816" s="35"/>
      <c r="C816" s="28"/>
      <c r="D816" s="28"/>
      <c r="E816" s="28"/>
      <c r="F816" s="28"/>
      <c r="G816" s="32" t="str">
        <f aca="false">IF(E816="","",IFERROR(INDEX(Товары!$D$4:$D$200,MATCH(E816,Товары!$B$4:$B$200,0)),0))</f>
        <v/>
      </c>
      <c r="H816" s="29"/>
      <c r="I816" s="32" t="str">
        <f aca="false">IF(OR(E816="",F816=""),"",F816*G816-N(H816))</f>
        <v/>
      </c>
      <c r="J816" s="29"/>
      <c r="K816" s="32" t="str">
        <f aca="false">IF(AND(I816="",N(J816)=0),"",N(I816)+N(J816))</f>
        <v/>
      </c>
      <c r="L816" s="32" t="str">
        <f aca="false">IF(OR(E816="",F816=""),"",F816*IFERROR(INDEX(Товары!$C$4:$C$200,MATCH(E816,Товары!$B$4:$B$200,0)),0))</f>
        <v/>
      </c>
      <c r="M816" s="32" t="str">
        <f aca="false">IF(I816="","",I816-L816)</f>
        <v/>
      </c>
      <c r="N816" s="28"/>
      <c r="O816" s="28"/>
      <c r="P816" s="28"/>
      <c r="Q816" s="28"/>
      <c r="R816" s="35"/>
      <c r="S816" s="28"/>
    </row>
    <row r="817" customFormat="false" ht="15" hidden="false" customHeight="false" outlineLevel="0" collapsed="false">
      <c r="A817" s="34" t="str">
        <f aca="false">IF(E817="","",ROW()-3)</f>
        <v/>
      </c>
      <c r="B817" s="35"/>
      <c r="C817" s="28"/>
      <c r="D817" s="28"/>
      <c r="E817" s="28"/>
      <c r="F817" s="28"/>
      <c r="G817" s="32" t="str">
        <f aca="false">IF(E817="","",IFERROR(INDEX(Товары!$D$4:$D$200,MATCH(E817,Товары!$B$4:$B$200,0)),0))</f>
        <v/>
      </c>
      <c r="H817" s="29"/>
      <c r="I817" s="32" t="str">
        <f aca="false">IF(OR(E817="",F817=""),"",F817*G817-N(H817))</f>
        <v/>
      </c>
      <c r="J817" s="29"/>
      <c r="K817" s="32" t="str">
        <f aca="false">IF(AND(I817="",N(J817)=0),"",N(I817)+N(J817))</f>
        <v/>
      </c>
      <c r="L817" s="32" t="str">
        <f aca="false">IF(OR(E817="",F817=""),"",F817*IFERROR(INDEX(Товары!$C$4:$C$200,MATCH(E817,Товары!$B$4:$B$200,0)),0))</f>
        <v/>
      </c>
      <c r="M817" s="32" t="str">
        <f aca="false">IF(I817="","",I817-L817)</f>
        <v/>
      </c>
      <c r="N817" s="28"/>
      <c r="O817" s="28"/>
      <c r="P817" s="28"/>
      <c r="Q817" s="28"/>
      <c r="R817" s="35"/>
      <c r="S817" s="28"/>
    </row>
    <row r="818" customFormat="false" ht="15" hidden="false" customHeight="false" outlineLevel="0" collapsed="false">
      <c r="A818" s="34" t="str">
        <f aca="false">IF(E818="","",ROW()-3)</f>
        <v/>
      </c>
      <c r="B818" s="35"/>
      <c r="C818" s="28"/>
      <c r="D818" s="28"/>
      <c r="E818" s="28"/>
      <c r="F818" s="28"/>
      <c r="G818" s="32" t="str">
        <f aca="false">IF(E818="","",IFERROR(INDEX(Товары!$D$4:$D$200,MATCH(E818,Товары!$B$4:$B$200,0)),0))</f>
        <v/>
      </c>
      <c r="H818" s="29"/>
      <c r="I818" s="32" t="str">
        <f aca="false">IF(OR(E818="",F818=""),"",F818*G818-N(H818))</f>
        <v/>
      </c>
      <c r="J818" s="29"/>
      <c r="K818" s="32" t="str">
        <f aca="false">IF(AND(I818="",N(J818)=0),"",N(I818)+N(J818))</f>
        <v/>
      </c>
      <c r="L818" s="32" t="str">
        <f aca="false">IF(OR(E818="",F818=""),"",F818*IFERROR(INDEX(Товары!$C$4:$C$200,MATCH(E818,Товары!$B$4:$B$200,0)),0))</f>
        <v/>
      </c>
      <c r="M818" s="32" t="str">
        <f aca="false">IF(I818="","",I818-L818)</f>
        <v/>
      </c>
      <c r="N818" s="28"/>
      <c r="O818" s="28"/>
      <c r="P818" s="28"/>
      <c r="Q818" s="28"/>
      <c r="R818" s="35"/>
      <c r="S818" s="28"/>
    </row>
    <row r="819" customFormat="false" ht="15" hidden="false" customHeight="false" outlineLevel="0" collapsed="false">
      <c r="A819" s="34" t="str">
        <f aca="false">IF(E819="","",ROW()-3)</f>
        <v/>
      </c>
      <c r="B819" s="35"/>
      <c r="C819" s="28"/>
      <c r="D819" s="28"/>
      <c r="E819" s="28"/>
      <c r="F819" s="28"/>
      <c r="G819" s="32" t="str">
        <f aca="false">IF(E819="","",IFERROR(INDEX(Товары!$D$4:$D$200,MATCH(E819,Товары!$B$4:$B$200,0)),0))</f>
        <v/>
      </c>
      <c r="H819" s="29"/>
      <c r="I819" s="32" t="str">
        <f aca="false">IF(OR(E819="",F819=""),"",F819*G819-N(H819))</f>
        <v/>
      </c>
      <c r="J819" s="29"/>
      <c r="K819" s="32" t="str">
        <f aca="false">IF(AND(I819="",N(J819)=0),"",N(I819)+N(J819))</f>
        <v/>
      </c>
      <c r="L819" s="32" t="str">
        <f aca="false">IF(OR(E819="",F819=""),"",F819*IFERROR(INDEX(Товары!$C$4:$C$200,MATCH(E819,Товары!$B$4:$B$200,0)),0))</f>
        <v/>
      </c>
      <c r="M819" s="32" t="str">
        <f aca="false">IF(I819="","",I819-L819)</f>
        <v/>
      </c>
      <c r="N819" s="28"/>
      <c r="O819" s="28"/>
      <c r="P819" s="28"/>
      <c r="Q819" s="28"/>
      <c r="R819" s="35"/>
      <c r="S819" s="28"/>
    </row>
    <row r="820" customFormat="false" ht="15" hidden="false" customHeight="false" outlineLevel="0" collapsed="false">
      <c r="A820" s="34" t="str">
        <f aca="false">IF(E820="","",ROW()-3)</f>
        <v/>
      </c>
      <c r="B820" s="35"/>
      <c r="C820" s="28"/>
      <c r="D820" s="28"/>
      <c r="E820" s="28"/>
      <c r="F820" s="28"/>
      <c r="G820" s="32" t="str">
        <f aca="false">IF(E820="","",IFERROR(INDEX(Товары!$D$4:$D$200,MATCH(E820,Товары!$B$4:$B$200,0)),0))</f>
        <v/>
      </c>
      <c r="H820" s="29"/>
      <c r="I820" s="32" t="str">
        <f aca="false">IF(OR(E820="",F820=""),"",F820*G820-N(H820))</f>
        <v/>
      </c>
      <c r="J820" s="29"/>
      <c r="K820" s="32" t="str">
        <f aca="false">IF(AND(I820="",N(J820)=0),"",N(I820)+N(J820))</f>
        <v/>
      </c>
      <c r="L820" s="32" t="str">
        <f aca="false">IF(OR(E820="",F820=""),"",F820*IFERROR(INDEX(Товары!$C$4:$C$200,MATCH(E820,Товары!$B$4:$B$200,0)),0))</f>
        <v/>
      </c>
      <c r="M820" s="32" t="str">
        <f aca="false">IF(I820="","",I820-L820)</f>
        <v/>
      </c>
      <c r="N820" s="28"/>
      <c r="O820" s="28"/>
      <c r="P820" s="28"/>
      <c r="Q820" s="28"/>
      <c r="R820" s="35"/>
      <c r="S820" s="28"/>
    </row>
    <row r="821" customFormat="false" ht="15" hidden="false" customHeight="false" outlineLevel="0" collapsed="false">
      <c r="A821" s="34" t="str">
        <f aca="false">IF(E821="","",ROW()-3)</f>
        <v/>
      </c>
      <c r="B821" s="35"/>
      <c r="C821" s="28"/>
      <c r="D821" s="28"/>
      <c r="E821" s="28"/>
      <c r="F821" s="28"/>
      <c r="G821" s="32" t="str">
        <f aca="false">IF(E821="","",IFERROR(INDEX(Товары!$D$4:$D$200,MATCH(E821,Товары!$B$4:$B$200,0)),0))</f>
        <v/>
      </c>
      <c r="H821" s="29"/>
      <c r="I821" s="32" t="str">
        <f aca="false">IF(OR(E821="",F821=""),"",F821*G821-N(H821))</f>
        <v/>
      </c>
      <c r="J821" s="29"/>
      <c r="K821" s="32" t="str">
        <f aca="false">IF(AND(I821="",N(J821)=0),"",N(I821)+N(J821))</f>
        <v/>
      </c>
      <c r="L821" s="32" t="str">
        <f aca="false">IF(OR(E821="",F821=""),"",F821*IFERROR(INDEX(Товары!$C$4:$C$200,MATCH(E821,Товары!$B$4:$B$200,0)),0))</f>
        <v/>
      </c>
      <c r="M821" s="32" t="str">
        <f aca="false">IF(I821="","",I821-L821)</f>
        <v/>
      </c>
      <c r="N821" s="28"/>
      <c r="O821" s="28"/>
      <c r="P821" s="28"/>
      <c r="Q821" s="28"/>
      <c r="R821" s="35"/>
      <c r="S821" s="28"/>
    </row>
    <row r="822" customFormat="false" ht="15" hidden="false" customHeight="false" outlineLevel="0" collapsed="false">
      <c r="A822" s="34" t="str">
        <f aca="false">IF(E822="","",ROW()-3)</f>
        <v/>
      </c>
      <c r="B822" s="35"/>
      <c r="C822" s="28"/>
      <c r="D822" s="28"/>
      <c r="E822" s="28"/>
      <c r="F822" s="28"/>
      <c r="G822" s="32" t="str">
        <f aca="false">IF(E822="","",IFERROR(INDEX(Товары!$D$4:$D$200,MATCH(E822,Товары!$B$4:$B$200,0)),0))</f>
        <v/>
      </c>
      <c r="H822" s="29"/>
      <c r="I822" s="32" t="str">
        <f aca="false">IF(OR(E822="",F822=""),"",F822*G822-N(H822))</f>
        <v/>
      </c>
      <c r="J822" s="29"/>
      <c r="K822" s="32" t="str">
        <f aca="false">IF(AND(I822="",N(J822)=0),"",N(I822)+N(J822))</f>
        <v/>
      </c>
      <c r="L822" s="32" t="str">
        <f aca="false">IF(OR(E822="",F822=""),"",F822*IFERROR(INDEX(Товары!$C$4:$C$200,MATCH(E822,Товары!$B$4:$B$200,0)),0))</f>
        <v/>
      </c>
      <c r="M822" s="32" t="str">
        <f aca="false">IF(I822="","",I822-L822)</f>
        <v/>
      </c>
      <c r="N822" s="28"/>
      <c r="O822" s="28"/>
      <c r="P822" s="28"/>
      <c r="Q822" s="28"/>
      <c r="R822" s="35"/>
      <c r="S822" s="28"/>
    </row>
    <row r="823" customFormat="false" ht="15" hidden="false" customHeight="false" outlineLevel="0" collapsed="false">
      <c r="A823" s="34" t="str">
        <f aca="false">IF(E823="","",ROW()-3)</f>
        <v/>
      </c>
      <c r="B823" s="35"/>
      <c r="C823" s="28"/>
      <c r="D823" s="28"/>
      <c r="E823" s="28"/>
      <c r="F823" s="28"/>
      <c r="G823" s="32" t="str">
        <f aca="false">IF(E823="","",IFERROR(INDEX(Товары!$D$4:$D$200,MATCH(E823,Товары!$B$4:$B$200,0)),0))</f>
        <v/>
      </c>
      <c r="H823" s="29"/>
      <c r="I823" s="32" t="str">
        <f aca="false">IF(OR(E823="",F823=""),"",F823*G823-N(H823))</f>
        <v/>
      </c>
      <c r="J823" s="29"/>
      <c r="K823" s="32" t="str">
        <f aca="false">IF(AND(I823="",N(J823)=0),"",N(I823)+N(J823))</f>
        <v/>
      </c>
      <c r="L823" s="32" t="str">
        <f aca="false">IF(OR(E823="",F823=""),"",F823*IFERROR(INDEX(Товары!$C$4:$C$200,MATCH(E823,Товары!$B$4:$B$200,0)),0))</f>
        <v/>
      </c>
      <c r="M823" s="32" t="str">
        <f aca="false">IF(I823="","",I823-L823)</f>
        <v/>
      </c>
      <c r="N823" s="28"/>
      <c r="O823" s="28"/>
      <c r="P823" s="28"/>
      <c r="Q823" s="28"/>
      <c r="R823" s="35"/>
      <c r="S823" s="28"/>
    </row>
    <row r="824" customFormat="false" ht="15" hidden="false" customHeight="false" outlineLevel="0" collapsed="false">
      <c r="A824" s="34" t="str">
        <f aca="false">IF(E824="","",ROW()-3)</f>
        <v/>
      </c>
      <c r="B824" s="35"/>
      <c r="C824" s="28"/>
      <c r="D824" s="28"/>
      <c r="E824" s="28"/>
      <c r="F824" s="28"/>
      <c r="G824" s="32" t="str">
        <f aca="false">IF(E824="","",IFERROR(INDEX(Товары!$D$4:$D$200,MATCH(E824,Товары!$B$4:$B$200,0)),0))</f>
        <v/>
      </c>
      <c r="H824" s="29"/>
      <c r="I824" s="32" t="str">
        <f aca="false">IF(OR(E824="",F824=""),"",F824*G824-N(H824))</f>
        <v/>
      </c>
      <c r="J824" s="29"/>
      <c r="K824" s="32" t="str">
        <f aca="false">IF(AND(I824="",N(J824)=0),"",N(I824)+N(J824))</f>
        <v/>
      </c>
      <c r="L824" s="32" t="str">
        <f aca="false">IF(OR(E824="",F824=""),"",F824*IFERROR(INDEX(Товары!$C$4:$C$200,MATCH(E824,Товары!$B$4:$B$200,0)),0))</f>
        <v/>
      </c>
      <c r="M824" s="32" t="str">
        <f aca="false">IF(I824="","",I824-L824)</f>
        <v/>
      </c>
      <c r="N824" s="28"/>
      <c r="O824" s="28"/>
      <c r="P824" s="28"/>
      <c r="Q824" s="28"/>
      <c r="R824" s="35"/>
      <c r="S824" s="28"/>
    </row>
    <row r="825" customFormat="false" ht="15" hidden="false" customHeight="false" outlineLevel="0" collapsed="false">
      <c r="A825" s="34" t="str">
        <f aca="false">IF(E825="","",ROW()-3)</f>
        <v/>
      </c>
      <c r="B825" s="35"/>
      <c r="C825" s="28"/>
      <c r="D825" s="28"/>
      <c r="E825" s="28"/>
      <c r="F825" s="28"/>
      <c r="G825" s="32" t="str">
        <f aca="false">IF(E825="","",IFERROR(INDEX(Товары!$D$4:$D$200,MATCH(E825,Товары!$B$4:$B$200,0)),0))</f>
        <v/>
      </c>
      <c r="H825" s="29"/>
      <c r="I825" s="32" t="str">
        <f aca="false">IF(OR(E825="",F825=""),"",F825*G825-N(H825))</f>
        <v/>
      </c>
      <c r="J825" s="29"/>
      <c r="K825" s="32" t="str">
        <f aca="false">IF(AND(I825="",N(J825)=0),"",N(I825)+N(J825))</f>
        <v/>
      </c>
      <c r="L825" s="32" t="str">
        <f aca="false">IF(OR(E825="",F825=""),"",F825*IFERROR(INDEX(Товары!$C$4:$C$200,MATCH(E825,Товары!$B$4:$B$200,0)),0))</f>
        <v/>
      </c>
      <c r="M825" s="32" t="str">
        <f aca="false">IF(I825="","",I825-L825)</f>
        <v/>
      </c>
      <c r="N825" s="28"/>
      <c r="O825" s="28"/>
      <c r="P825" s="28"/>
      <c r="Q825" s="28"/>
      <c r="R825" s="35"/>
      <c r="S825" s="28"/>
    </row>
    <row r="826" customFormat="false" ht="15" hidden="false" customHeight="false" outlineLevel="0" collapsed="false">
      <c r="A826" s="34" t="str">
        <f aca="false">IF(E826="","",ROW()-3)</f>
        <v/>
      </c>
      <c r="B826" s="35"/>
      <c r="C826" s="28"/>
      <c r="D826" s="28"/>
      <c r="E826" s="28"/>
      <c r="F826" s="28"/>
      <c r="G826" s="32" t="str">
        <f aca="false">IF(E826="","",IFERROR(INDEX(Товары!$D$4:$D$200,MATCH(E826,Товары!$B$4:$B$200,0)),0))</f>
        <v/>
      </c>
      <c r="H826" s="29"/>
      <c r="I826" s="32" t="str">
        <f aca="false">IF(OR(E826="",F826=""),"",F826*G826-N(H826))</f>
        <v/>
      </c>
      <c r="J826" s="29"/>
      <c r="K826" s="32" t="str">
        <f aca="false">IF(AND(I826="",N(J826)=0),"",N(I826)+N(J826))</f>
        <v/>
      </c>
      <c r="L826" s="32" t="str">
        <f aca="false">IF(OR(E826="",F826=""),"",F826*IFERROR(INDEX(Товары!$C$4:$C$200,MATCH(E826,Товары!$B$4:$B$200,0)),0))</f>
        <v/>
      </c>
      <c r="M826" s="32" t="str">
        <f aca="false">IF(I826="","",I826-L826)</f>
        <v/>
      </c>
      <c r="N826" s="28"/>
      <c r="O826" s="28"/>
      <c r="P826" s="28"/>
      <c r="Q826" s="28"/>
      <c r="R826" s="35"/>
      <c r="S826" s="28"/>
    </row>
    <row r="827" customFormat="false" ht="15" hidden="false" customHeight="false" outlineLevel="0" collapsed="false">
      <c r="A827" s="34" t="str">
        <f aca="false">IF(E827="","",ROW()-3)</f>
        <v/>
      </c>
      <c r="B827" s="35"/>
      <c r="C827" s="28"/>
      <c r="D827" s="28"/>
      <c r="E827" s="28"/>
      <c r="F827" s="28"/>
      <c r="G827" s="32" t="str">
        <f aca="false">IF(E827="","",IFERROR(INDEX(Товары!$D$4:$D$200,MATCH(E827,Товары!$B$4:$B$200,0)),0))</f>
        <v/>
      </c>
      <c r="H827" s="29"/>
      <c r="I827" s="32" t="str">
        <f aca="false">IF(OR(E827="",F827=""),"",F827*G827-N(H827))</f>
        <v/>
      </c>
      <c r="J827" s="29"/>
      <c r="K827" s="32" t="str">
        <f aca="false">IF(AND(I827="",N(J827)=0),"",N(I827)+N(J827))</f>
        <v/>
      </c>
      <c r="L827" s="32" t="str">
        <f aca="false">IF(OR(E827="",F827=""),"",F827*IFERROR(INDEX(Товары!$C$4:$C$200,MATCH(E827,Товары!$B$4:$B$200,0)),0))</f>
        <v/>
      </c>
      <c r="M827" s="32" t="str">
        <f aca="false">IF(I827="","",I827-L827)</f>
        <v/>
      </c>
      <c r="N827" s="28"/>
      <c r="O827" s="28"/>
      <c r="P827" s="28"/>
      <c r="Q827" s="28"/>
      <c r="R827" s="35"/>
      <c r="S827" s="28"/>
    </row>
    <row r="828" customFormat="false" ht="15" hidden="false" customHeight="false" outlineLevel="0" collapsed="false">
      <c r="A828" s="34" t="str">
        <f aca="false">IF(E828="","",ROW()-3)</f>
        <v/>
      </c>
      <c r="B828" s="35"/>
      <c r="C828" s="28"/>
      <c r="D828" s="28"/>
      <c r="E828" s="28"/>
      <c r="F828" s="28"/>
      <c r="G828" s="32" t="str">
        <f aca="false">IF(E828="","",IFERROR(INDEX(Товары!$D$4:$D$200,MATCH(E828,Товары!$B$4:$B$200,0)),0))</f>
        <v/>
      </c>
      <c r="H828" s="29"/>
      <c r="I828" s="32" t="str">
        <f aca="false">IF(OR(E828="",F828=""),"",F828*G828-N(H828))</f>
        <v/>
      </c>
      <c r="J828" s="29"/>
      <c r="K828" s="32" t="str">
        <f aca="false">IF(AND(I828="",N(J828)=0),"",N(I828)+N(J828))</f>
        <v/>
      </c>
      <c r="L828" s="32" t="str">
        <f aca="false">IF(OR(E828="",F828=""),"",F828*IFERROR(INDEX(Товары!$C$4:$C$200,MATCH(E828,Товары!$B$4:$B$200,0)),0))</f>
        <v/>
      </c>
      <c r="M828" s="32" t="str">
        <f aca="false">IF(I828="","",I828-L828)</f>
        <v/>
      </c>
      <c r="N828" s="28"/>
      <c r="O828" s="28"/>
      <c r="P828" s="28"/>
      <c r="Q828" s="28"/>
      <c r="R828" s="35"/>
      <c r="S828" s="28"/>
    </row>
    <row r="829" customFormat="false" ht="15" hidden="false" customHeight="false" outlineLevel="0" collapsed="false">
      <c r="A829" s="34" t="str">
        <f aca="false">IF(E829="","",ROW()-3)</f>
        <v/>
      </c>
      <c r="B829" s="35"/>
      <c r="C829" s="28"/>
      <c r="D829" s="28"/>
      <c r="E829" s="28"/>
      <c r="F829" s="28"/>
      <c r="G829" s="32" t="str">
        <f aca="false">IF(E829="","",IFERROR(INDEX(Товары!$D$4:$D$200,MATCH(E829,Товары!$B$4:$B$200,0)),0))</f>
        <v/>
      </c>
      <c r="H829" s="29"/>
      <c r="I829" s="32" t="str">
        <f aca="false">IF(OR(E829="",F829=""),"",F829*G829-N(H829))</f>
        <v/>
      </c>
      <c r="J829" s="29"/>
      <c r="K829" s="32" t="str">
        <f aca="false">IF(AND(I829="",N(J829)=0),"",N(I829)+N(J829))</f>
        <v/>
      </c>
      <c r="L829" s="32" t="str">
        <f aca="false">IF(OR(E829="",F829=""),"",F829*IFERROR(INDEX(Товары!$C$4:$C$200,MATCH(E829,Товары!$B$4:$B$200,0)),0))</f>
        <v/>
      </c>
      <c r="M829" s="32" t="str">
        <f aca="false">IF(I829="","",I829-L829)</f>
        <v/>
      </c>
      <c r="N829" s="28"/>
      <c r="O829" s="28"/>
      <c r="P829" s="28"/>
      <c r="Q829" s="28"/>
      <c r="R829" s="35"/>
      <c r="S829" s="28"/>
    </row>
    <row r="830" customFormat="false" ht="15" hidden="false" customHeight="false" outlineLevel="0" collapsed="false">
      <c r="A830" s="34" t="str">
        <f aca="false">IF(E830="","",ROW()-3)</f>
        <v/>
      </c>
      <c r="B830" s="35"/>
      <c r="C830" s="28"/>
      <c r="D830" s="28"/>
      <c r="E830" s="28"/>
      <c r="F830" s="28"/>
      <c r="G830" s="32" t="str">
        <f aca="false">IF(E830="","",IFERROR(INDEX(Товары!$D$4:$D$200,MATCH(E830,Товары!$B$4:$B$200,0)),0))</f>
        <v/>
      </c>
      <c r="H830" s="29"/>
      <c r="I830" s="32" t="str">
        <f aca="false">IF(OR(E830="",F830=""),"",F830*G830-N(H830))</f>
        <v/>
      </c>
      <c r="J830" s="29"/>
      <c r="K830" s="32" t="str">
        <f aca="false">IF(AND(I830="",N(J830)=0),"",N(I830)+N(J830))</f>
        <v/>
      </c>
      <c r="L830" s="32" t="str">
        <f aca="false">IF(OR(E830="",F830=""),"",F830*IFERROR(INDEX(Товары!$C$4:$C$200,MATCH(E830,Товары!$B$4:$B$200,0)),0))</f>
        <v/>
      </c>
      <c r="M830" s="32" t="str">
        <f aca="false">IF(I830="","",I830-L830)</f>
        <v/>
      </c>
      <c r="N830" s="28"/>
      <c r="O830" s="28"/>
      <c r="P830" s="28"/>
      <c r="Q830" s="28"/>
      <c r="R830" s="35"/>
      <c r="S830" s="28"/>
    </row>
    <row r="831" customFormat="false" ht="15" hidden="false" customHeight="false" outlineLevel="0" collapsed="false">
      <c r="A831" s="34" t="str">
        <f aca="false">IF(E831="","",ROW()-3)</f>
        <v/>
      </c>
      <c r="B831" s="35"/>
      <c r="C831" s="28"/>
      <c r="D831" s="28"/>
      <c r="E831" s="28"/>
      <c r="F831" s="28"/>
      <c r="G831" s="32" t="str">
        <f aca="false">IF(E831="","",IFERROR(INDEX(Товары!$D$4:$D$200,MATCH(E831,Товары!$B$4:$B$200,0)),0))</f>
        <v/>
      </c>
      <c r="H831" s="29"/>
      <c r="I831" s="32" t="str">
        <f aca="false">IF(OR(E831="",F831=""),"",F831*G831-N(H831))</f>
        <v/>
      </c>
      <c r="J831" s="29"/>
      <c r="K831" s="32" t="str">
        <f aca="false">IF(AND(I831="",N(J831)=0),"",N(I831)+N(J831))</f>
        <v/>
      </c>
      <c r="L831" s="32" t="str">
        <f aca="false">IF(OR(E831="",F831=""),"",F831*IFERROR(INDEX(Товары!$C$4:$C$200,MATCH(E831,Товары!$B$4:$B$200,0)),0))</f>
        <v/>
      </c>
      <c r="M831" s="32" t="str">
        <f aca="false">IF(I831="","",I831-L831)</f>
        <v/>
      </c>
      <c r="N831" s="28"/>
      <c r="O831" s="28"/>
      <c r="P831" s="28"/>
      <c r="Q831" s="28"/>
      <c r="R831" s="35"/>
      <c r="S831" s="28"/>
    </row>
    <row r="832" customFormat="false" ht="15" hidden="false" customHeight="false" outlineLevel="0" collapsed="false">
      <c r="A832" s="34" t="str">
        <f aca="false">IF(E832="","",ROW()-3)</f>
        <v/>
      </c>
      <c r="B832" s="35"/>
      <c r="C832" s="28"/>
      <c r="D832" s="28"/>
      <c r="E832" s="28"/>
      <c r="F832" s="28"/>
      <c r="G832" s="32" t="str">
        <f aca="false">IF(E832="","",IFERROR(INDEX(Товары!$D$4:$D$200,MATCH(E832,Товары!$B$4:$B$200,0)),0))</f>
        <v/>
      </c>
      <c r="H832" s="29"/>
      <c r="I832" s="32" t="str">
        <f aca="false">IF(OR(E832="",F832=""),"",F832*G832-N(H832))</f>
        <v/>
      </c>
      <c r="J832" s="29"/>
      <c r="K832" s="32" t="str">
        <f aca="false">IF(AND(I832="",N(J832)=0),"",N(I832)+N(J832))</f>
        <v/>
      </c>
      <c r="L832" s="32" t="str">
        <f aca="false">IF(OR(E832="",F832=""),"",F832*IFERROR(INDEX(Товары!$C$4:$C$200,MATCH(E832,Товары!$B$4:$B$200,0)),0))</f>
        <v/>
      </c>
      <c r="M832" s="32" t="str">
        <f aca="false">IF(I832="","",I832-L832)</f>
        <v/>
      </c>
      <c r="N832" s="28"/>
      <c r="O832" s="28"/>
      <c r="P832" s="28"/>
      <c r="Q832" s="28"/>
      <c r="R832" s="35"/>
      <c r="S832" s="28"/>
    </row>
    <row r="833" customFormat="false" ht="15" hidden="false" customHeight="false" outlineLevel="0" collapsed="false">
      <c r="A833" s="34" t="str">
        <f aca="false">IF(E833="","",ROW()-3)</f>
        <v/>
      </c>
      <c r="B833" s="35"/>
      <c r="C833" s="28"/>
      <c r="D833" s="28"/>
      <c r="E833" s="28"/>
      <c r="F833" s="28"/>
      <c r="G833" s="32" t="str">
        <f aca="false">IF(E833="","",IFERROR(INDEX(Товары!$D$4:$D$200,MATCH(E833,Товары!$B$4:$B$200,0)),0))</f>
        <v/>
      </c>
      <c r="H833" s="29"/>
      <c r="I833" s="32" t="str">
        <f aca="false">IF(OR(E833="",F833=""),"",F833*G833-N(H833))</f>
        <v/>
      </c>
      <c r="J833" s="29"/>
      <c r="K833" s="32" t="str">
        <f aca="false">IF(AND(I833="",N(J833)=0),"",N(I833)+N(J833))</f>
        <v/>
      </c>
      <c r="L833" s="32" t="str">
        <f aca="false">IF(OR(E833="",F833=""),"",F833*IFERROR(INDEX(Товары!$C$4:$C$200,MATCH(E833,Товары!$B$4:$B$200,0)),0))</f>
        <v/>
      </c>
      <c r="M833" s="32" t="str">
        <f aca="false">IF(I833="","",I833-L833)</f>
        <v/>
      </c>
      <c r="N833" s="28"/>
      <c r="O833" s="28"/>
      <c r="P833" s="28"/>
      <c r="Q833" s="28"/>
      <c r="R833" s="35"/>
      <c r="S833" s="28"/>
    </row>
    <row r="834" customFormat="false" ht="15" hidden="false" customHeight="false" outlineLevel="0" collapsed="false">
      <c r="A834" s="34" t="str">
        <f aca="false">IF(E834="","",ROW()-3)</f>
        <v/>
      </c>
      <c r="B834" s="35"/>
      <c r="C834" s="28"/>
      <c r="D834" s="28"/>
      <c r="E834" s="28"/>
      <c r="F834" s="28"/>
      <c r="G834" s="32" t="str">
        <f aca="false">IF(E834="","",IFERROR(INDEX(Товары!$D$4:$D$200,MATCH(E834,Товары!$B$4:$B$200,0)),0))</f>
        <v/>
      </c>
      <c r="H834" s="29"/>
      <c r="I834" s="32" t="str">
        <f aca="false">IF(OR(E834="",F834=""),"",F834*G834-N(H834))</f>
        <v/>
      </c>
      <c r="J834" s="29"/>
      <c r="K834" s="32" t="str">
        <f aca="false">IF(AND(I834="",N(J834)=0),"",N(I834)+N(J834))</f>
        <v/>
      </c>
      <c r="L834" s="32" t="str">
        <f aca="false">IF(OR(E834="",F834=""),"",F834*IFERROR(INDEX(Товары!$C$4:$C$200,MATCH(E834,Товары!$B$4:$B$200,0)),0))</f>
        <v/>
      </c>
      <c r="M834" s="32" t="str">
        <f aca="false">IF(I834="","",I834-L834)</f>
        <v/>
      </c>
      <c r="N834" s="28"/>
      <c r="O834" s="28"/>
      <c r="P834" s="28"/>
      <c r="Q834" s="28"/>
      <c r="R834" s="35"/>
      <c r="S834" s="28"/>
    </row>
    <row r="835" customFormat="false" ht="15" hidden="false" customHeight="false" outlineLevel="0" collapsed="false">
      <c r="A835" s="34" t="str">
        <f aca="false">IF(E835="","",ROW()-3)</f>
        <v/>
      </c>
      <c r="B835" s="35"/>
      <c r="C835" s="28"/>
      <c r="D835" s="28"/>
      <c r="E835" s="28"/>
      <c r="F835" s="28"/>
      <c r="G835" s="32" t="str">
        <f aca="false">IF(E835="","",IFERROR(INDEX(Товары!$D$4:$D$200,MATCH(E835,Товары!$B$4:$B$200,0)),0))</f>
        <v/>
      </c>
      <c r="H835" s="29"/>
      <c r="I835" s="32" t="str">
        <f aca="false">IF(OR(E835="",F835=""),"",F835*G835-N(H835))</f>
        <v/>
      </c>
      <c r="J835" s="29"/>
      <c r="K835" s="32" t="str">
        <f aca="false">IF(AND(I835="",N(J835)=0),"",N(I835)+N(J835))</f>
        <v/>
      </c>
      <c r="L835" s="32" t="str">
        <f aca="false">IF(OR(E835="",F835=""),"",F835*IFERROR(INDEX(Товары!$C$4:$C$200,MATCH(E835,Товары!$B$4:$B$200,0)),0))</f>
        <v/>
      </c>
      <c r="M835" s="32" t="str">
        <f aca="false">IF(I835="","",I835-L835)</f>
        <v/>
      </c>
      <c r="N835" s="28"/>
      <c r="O835" s="28"/>
      <c r="P835" s="28"/>
      <c r="Q835" s="28"/>
      <c r="R835" s="35"/>
      <c r="S835" s="28"/>
    </row>
    <row r="836" customFormat="false" ht="15" hidden="false" customHeight="false" outlineLevel="0" collapsed="false">
      <c r="A836" s="34" t="str">
        <f aca="false">IF(E836="","",ROW()-3)</f>
        <v/>
      </c>
      <c r="B836" s="35"/>
      <c r="C836" s="28"/>
      <c r="D836" s="28"/>
      <c r="E836" s="28"/>
      <c r="F836" s="28"/>
      <c r="G836" s="32" t="str">
        <f aca="false">IF(E836="","",IFERROR(INDEX(Товары!$D$4:$D$200,MATCH(E836,Товары!$B$4:$B$200,0)),0))</f>
        <v/>
      </c>
      <c r="H836" s="29"/>
      <c r="I836" s="32" t="str">
        <f aca="false">IF(OR(E836="",F836=""),"",F836*G836-N(H836))</f>
        <v/>
      </c>
      <c r="J836" s="29"/>
      <c r="K836" s="32" t="str">
        <f aca="false">IF(AND(I836="",N(J836)=0),"",N(I836)+N(J836))</f>
        <v/>
      </c>
      <c r="L836" s="32" t="str">
        <f aca="false">IF(OR(E836="",F836=""),"",F836*IFERROR(INDEX(Товары!$C$4:$C$200,MATCH(E836,Товары!$B$4:$B$200,0)),0))</f>
        <v/>
      </c>
      <c r="M836" s="32" t="str">
        <f aca="false">IF(I836="","",I836-L836)</f>
        <v/>
      </c>
      <c r="N836" s="28"/>
      <c r="O836" s="28"/>
      <c r="P836" s="28"/>
      <c r="Q836" s="28"/>
      <c r="R836" s="35"/>
      <c r="S836" s="28"/>
    </row>
    <row r="837" customFormat="false" ht="15" hidden="false" customHeight="false" outlineLevel="0" collapsed="false">
      <c r="A837" s="34" t="str">
        <f aca="false">IF(E837="","",ROW()-3)</f>
        <v/>
      </c>
      <c r="B837" s="35"/>
      <c r="C837" s="28"/>
      <c r="D837" s="28"/>
      <c r="E837" s="28"/>
      <c r="F837" s="28"/>
      <c r="G837" s="32" t="str">
        <f aca="false">IF(E837="","",IFERROR(INDEX(Товары!$D$4:$D$200,MATCH(E837,Товары!$B$4:$B$200,0)),0))</f>
        <v/>
      </c>
      <c r="H837" s="29"/>
      <c r="I837" s="32" t="str">
        <f aca="false">IF(OR(E837="",F837=""),"",F837*G837-N(H837))</f>
        <v/>
      </c>
      <c r="J837" s="29"/>
      <c r="K837" s="32" t="str">
        <f aca="false">IF(AND(I837="",N(J837)=0),"",N(I837)+N(J837))</f>
        <v/>
      </c>
      <c r="L837" s="32" t="str">
        <f aca="false">IF(OR(E837="",F837=""),"",F837*IFERROR(INDEX(Товары!$C$4:$C$200,MATCH(E837,Товары!$B$4:$B$200,0)),0))</f>
        <v/>
      </c>
      <c r="M837" s="32" t="str">
        <f aca="false">IF(I837="","",I837-L837)</f>
        <v/>
      </c>
      <c r="N837" s="28"/>
      <c r="O837" s="28"/>
      <c r="P837" s="28"/>
      <c r="Q837" s="28"/>
      <c r="R837" s="35"/>
      <c r="S837" s="28"/>
    </row>
    <row r="838" customFormat="false" ht="15" hidden="false" customHeight="false" outlineLevel="0" collapsed="false">
      <c r="A838" s="34" t="str">
        <f aca="false">IF(E838="","",ROW()-3)</f>
        <v/>
      </c>
      <c r="B838" s="35"/>
      <c r="C838" s="28"/>
      <c r="D838" s="28"/>
      <c r="E838" s="28"/>
      <c r="F838" s="28"/>
      <c r="G838" s="32" t="str">
        <f aca="false">IF(E838="","",IFERROR(INDEX(Товары!$D$4:$D$200,MATCH(E838,Товары!$B$4:$B$200,0)),0))</f>
        <v/>
      </c>
      <c r="H838" s="29"/>
      <c r="I838" s="32" t="str">
        <f aca="false">IF(OR(E838="",F838=""),"",F838*G838-N(H838))</f>
        <v/>
      </c>
      <c r="J838" s="29"/>
      <c r="K838" s="32" t="str">
        <f aca="false">IF(AND(I838="",N(J838)=0),"",N(I838)+N(J838))</f>
        <v/>
      </c>
      <c r="L838" s="32" t="str">
        <f aca="false">IF(OR(E838="",F838=""),"",F838*IFERROR(INDEX(Товары!$C$4:$C$200,MATCH(E838,Товары!$B$4:$B$200,0)),0))</f>
        <v/>
      </c>
      <c r="M838" s="32" t="str">
        <f aca="false">IF(I838="","",I838-L838)</f>
        <v/>
      </c>
      <c r="N838" s="28"/>
      <c r="O838" s="28"/>
      <c r="P838" s="28"/>
      <c r="Q838" s="28"/>
      <c r="R838" s="35"/>
      <c r="S838" s="28"/>
    </row>
    <row r="839" customFormat="false" ht="15" hidden="false" customHeight="false" outlineLevel="0" collapsed="false">
      <c r="A839" s="34" t="str">
        <f aca="false">IF(E839="","",ROW()-3)</f>
        <v/>
      </c>
      <c r="B839" s="35"/>
      <c r="C839" s="28"/>
      <c r="D839" s="28"/>
      <c r="E839" s="28"/>
      <c r="F839" s="28"/>
      <c r="G839" s="32" t="str">
        <f aca="false">IF(E839="","",IFERROR(INDEX(Товары!$D$4:$D$200,MATCH(E839,Товары!$B$4:$B$200,0)),0))</f>
        <v/>
      </c>
      <c r="H839" s="29"/>
      <c r="I839" s="32" t="str">
        <f aca="false">IF(OR(E839="",F839=""),"",F839*G839-N(H839))</f>
        <v/>
      </c>
      <c r="J839" s="29"/>
      <c r="K839" s="32" t="str">
        <f aca="false">IF(AND(I839="",N(J839)=0),"",N(I839)+N(J839))</f>
        <v/>
      </c>
      <c r="L839" s="32" t="str">
        <f aca="false">IF(OR(E839="",F839=""),"",F839*IFERROR(INDEX(Товары!$C$4:$C$200,MATCH(E839,Товары!$B$4:$B$200,0)),0))</f>
        <v/>
      </c>
      <c r="M839" s="32" t="str">
        <f aca="false">IF(I839="","",I839-L839)</f>
        <v/>
      </c>
      <c r="N839" s="28"/>
      <c r="O839" s="28"/>
      <c r="P839" s="28"/>
      <c r="Q839" s="28"/>
      <c r="R839" s="35"/>
      <c r="S839" s="28"/>
    </row>
    <row r="840" customFormat="false" ht="15" hidden="false" customHeight="false" outlineLevel="0" collapsed="false">
      <c r="A840" s="34" t="str">
        <f aca="false">IF(E840="","",ROW()-3)</f>
        <v/>
      </c>
      <c r="B840" s="35"/>
      <c r="C840" s="28"/>
      <c r="D840" s="28"/>
      <c r="E840" s="28"/>
      <c r="F840" s="28"/>
      <c r="G840" s="32" t="str">
        <f aca="false">IF(E840="","",IFERROR(INDEX(Товары!$D$4:$D$200,MATCH(E840,Товары!$B$4:$B$200,0)),0))</f>
        <v/>
      </c>
      <c r="H840" s="29"/>
      <c r="I840" s="32" t="str">
        <f aca="false">IF(OR(E840="",F840=""),"",F840*G840-N(H840))</f>
        <v/>
      </c>
      <c r="J840" s="29"/>
      <c r="K840" s="32" t="str">
        <f aca="false">IF(AND(I840="",N(J840)=0),"",N(I840)+N(J840))</f>
        <v/>
      </c>
      <c r="L840" s="32" t="str">
        <f aca="false">IF(OR(E840="",F840=""),"",F840*IFERROR(INDEX(Товары!$C$4:$C$200,MATCH(E840,Товары!$B$4:$B$200,0)),0))</f>
        <v/>
      </c>
      <c r="M840" s="32" t="str">
        <f aca="false">IF(I840="","",I840-L840)</f>
        <v/>
      </c>
      <c r="N840" s="28"/>
      <c r="O840" s="28"/>
      <c r="P840" s="28"/>
      <c r="Q840" s="28"/>
      <c r="R840" s="35"/>
      <c r="S840" s="28"/>
    </row>
    <row r="841" customFormat="false" ht="15" hidden="false" customHeight="false" outlineLevel="0" collapsed="false">
      <c r="A841" s="34" t="str">
        <f aca="false">IF(E841="","",ROW()-3)</f>
        <v/>
      </c>
      <c r="B841" s="35"/>
      <c r="C841" s="28"/>
      <c r="D841" s="28"/>
      <c r="E841" s="28"/>
      <c r="F841" s="28"/>
      <c r="G841" s="32" t="str">
        <f aca="false">IF(E841="","",IFERROR(INDEX(Товары!$D$4:$D$200,MATCH(E841,Товары!$B$4:$B$200,0)),0))</f>
        <v/>
      </c>
      <c r="H841" s="29"/>
      <c r="I841" s="32" t="str">
        <f aca="false">IF(OR(E841="",F841=""),"",F841*G841-N(H841))</f>
        <v/>
      </c>
      <c r="J841" s="29"/>
      <c r="K841" s="32" t="str">
        <f aca="false">IF(AND(I841="",N(J841)=0),"",N(I841)+N(J841))</f>
        <v/>
      </c>
      <c r="L841" s="32" t="str">
        <f aca="false">IF(OR(E841="",F841=""),"",F841*IFERROR(INDEX(Товары!$C$4:$C$200,MATCH(E841,Товары!$B$4:$B$200,0)),0))</f>
        <v/>
      </c>
      <c r="M841" s="32" t="str">
        <f aca="false">IF(I841="","",I841-L841)</f>
        <v/>
      </c>
      <c r="N841" s="28"/>
      <c r="O841" s="28"/>
      <c r="P841" s="28"/>
      <c r="Q841" s="28"/>
      <c r="R841" s="35"/>
      <c r="S841" s="28"/>
    </row>
    <row r="842" customFormat="false" ht="15" hidden="false" customHeight="false" outlineLevel="0" collapsed="false">
      <c r="A842" s="34" t="str">
        <f aca="false">IF(E842="","",ROW()-3)</f>
        <v/>
      </c>
      <c r="B842" s="35"/>
      <c r="C842" s="28"/>
      <c r="D842" s="28"/>
      <c r="E842" s="28"/>
      <c r="F842" s="28"/>
      <c r="G842" s="32" t="str">
        <f aca="false">IF(E842="","",IFERROR(INDEX(Товары!$D$4:$D$200,MATCH(E842,Товары!$B$4:$B$200,0)),0))</f>
        <v/>
      </c>
      <c r="H842" s="29"/>
      <c r="I842" s="32" t="str">
        <f aca="false">IF(OR(E842="",F842=""),"",F842*G842-N(H842))</f>
        <v/>
      </c>
      <c r="J842" s="29"/>
      <c r="K842" s="32" t="str">
        <f aca="false">IF(AND(I842="",N(J842)=0),"",N(I842)+N(J842))</f>
        <v/>
      </c>
      <c r="L842" s="32" t="str">
        <f aca="false">IF(OR(E842="",F842=""),"",F842*IFERROR(INDEX(Товары!$C$4:$C$200,MATCH(E842,Товары!$B$4:$B$200,0)),0))</f>
        <v/>
      </c>
      <c r="M842" s="32" t="str">
        <f aca="false">IF(I842="","",I842-L842)</f>
        <v/>
      </c>
      <c r="N842" s="28"/>
      <c r="O842" s="28"/>
      <c r="P842" s="28"/>
      <c r="Q842" s="28"/>
      <c r="R842" s="35"/>
      <c r="S842" s="28"/>
    </row>
    <row r="843" customFormat="false" ht="15" hidden="false" customHeight="false" outlineLevel="0" collapsed="false">
      <c r="A843" s="34" t="str">
        <f aca="false">IF(E843="","",ROW()-3)</f>
        <v/>
      </c>
      <c r="B843" s="35"/>
      <c r="C843" s="28"/>
      <c r="D843" s="28"/>
      <c r="E843" s="28"/>
      <c r="F843" s="28"/>
      <c r="G843" s="32" t="str">
        <f aca="false">IF(E843="","",IFERROR(INDEX(Товары!$D$4:$D$200,MATCH(E843,Товары!$B$4:$B$200,0)),0))</f>
        <v/>
      </c>
      <c r="H843" s="29"/>
      <c r="I843" s="32" t="str">
        <f aca="false">IF(OR(E843="",F843=""),"",F843*G843-N(H843))</f>
        <v/>
      </c>
      <c r="J843" s="29"/>
      <c r="K843" s="32" t="str">
        <f aca="false">IF(AND(I843="",N(J843)=0),"",N(I843)+N(J843))</f>
        <v/>
      </c>
      <c r="L843" s="32" t="str">
        <f aca="false">IF(OR(E843="",F843=""),"",F843*IFERROR(INDEX(Товары!$C$4:$C$200,MATCH(E843,Товары!$B$4:$B$200,0)),0))</f>
        <v/>
      </c>
      <c r="M843" s="32" t="str">
        <f aca="false">IF(I843="","",I843-L843)</f>
        <v/>
      </c>
      <c r="N843" s="28"/>
      <c r="O843" s="28"/>
      <c r="P843" s="28"/>
      <c r="Q843" s="28"/>
      <c r="R843" s="35"/>
      <c r="S843" s="28"/>
    </row>
    <row r="844" customFormat="false" ht="15" hidden="false" customHeight="false" outlineLevel="0" collapsed="false">
      <c r="A844" s="34" t="str">
        <f aca="false">IF(E844="","",ROW()-3)</f>
        <v/>
      </c>
      <c r="B844" s="35"/>
      <c r="C844" s="28"/>
      <c r="D844" s="28"/>
      <c r="E844" s="28"/>
      <c r="F844" s="28"/>
      <c r="G844" s="32" t="str">
        <f aca="false">IF(E844="","",IFERROR(INDEX(Товары!$D$4:$D$200,MATCH(E844,Товары!$B$4:$B$200,0)),0))</f>
        <v/>
      </c>
      <c r="H844" s="29"/>
      <c r="I844" s="32" t="str">
        <f aca="false">IF(OR(E844="",F844=""),"",F844*G844-N(H844))</f>
        <v/>
      </c>
      <c r="J844" s="29"/>
      <c r="K844" s="32" t="str">
        <f aca="false">IF(AND(I844="",N(J844)=0),"",N(I844)+N(J844))</f>
        <v/>
      </c>
      <c r="L844" s="32" t="str">
        <f aca="false">IF(OR(E844="",F844=""),"",F844*IFERROR(INDEX(Товары!$C$4:$C$200,MATCH(E844,Товары!$B$4:$B$200,0)),0))</f>
        <v/>
      </c>
      <c r="M844" s="32" t="str">
        <f aca="false">IF(I844="","",I844-L844)</f>
        <v/>
      </c>
      <c r="N844" s="28"/>
      <c r="O844" s="28"/>
      <c r="P844" s="28"/>
      <c r="Q844" s="28"/>
      <c r="R844" s="35"/>
      <c r="S844" s="28"/>
    </row>
    <row r="845" customFormat="false" ht="15" hidden="false" customHeight="false" outlineLevel="0" collapsed="false">
      <c r="A845" s="34" t="str">
        <f aca="false">IF(E845="","",ROW()-3)</f>
        <v/>
      </c>
      <c r="B845" s="35"/>
      <c r="C845" s="28"/>
      <c r="D845" s="28"/>
      <c r="E845" s="28"/>
      <c r="F845" s="28"/>
      <c r="G845" s="32" t="str">
        <f aca="false">IF(E845="","",IFERROR(INDEX(Товары!$D$4:$D$200,MATCH(E845,Товары!$B$4:$B$200,0)),0))</f>
        <v/>
      </c>
      <c r="H845" s="29"/>
      <c r="I845" s="32" t="str">
        <f aca="false">IF(OR(E845="",F845=""),"",F845*G845-N(H845))</f>
        <v/>
      </c>
      <c r="J845" s="29"/>
      <c r="K845" s="32" t="str">
        <f aca="false">IF(AND(I845="",N(J845)=0),"",N(I845)+N(J845))</f>
        <v/>
      </c>
      <c r="L845" s="32" t="str">
        <f aca="false">IF(OR(E845="",F845=""),"",F845*IFERROR(INDEX(Товары!$C$4:$C$200,MATCH(E845,Товары!$B$4:$B$200,0)),0))</f>
        <v/>
      </c>
      <c r="M845" s="32" t="str">
        <f aca="false">IF(I845="","",I845-L845)</f>
        <v/>
      </c>
      <c r="N845" s="28"/>
      <c r="O845" s="28"/>
      <c r="P845" s="28"/>
      <c r="Q845" s="28"/>
      <c r="R845" s="35"/>
      <c r="S845" s="28"/>
    </row>
    <row r="846" customFormat="false" ht="15" hidden="false" customHeight="false" outlineLevel="0" collapsed="false">
      <c r="A846" s="34" t="str">
        <f aca="false">IF(E846="","",ROW()-3)</f>
        <v/>
      </c>
      <c r="B846" s="35"/>
      <c r="C846" s="28"/>
      <c r="D846" s="28"/>
      <c r="E846" s="28"/>
      <c r="F846" s="28"/>
      <c r="G846" s="32" t="str">
        <f aca="false">IF(E846="","",IFERROR(INDEX(Товары!$D$4:$D$200,MATCH(E846,Товары!$B$4:$B$200,0)),0))</f>
        <v/>
      </c>
      <c r="H846" s="29"/>
      <c r="I846" s="32" t="str">
        <f aca="false">IF(OR(E846="",F846=""),"",F846*G846-N(H846))</f>
        <v/>
      </c>
      <c r="J846" s="29"/>
      <c r="K846" s="32" t="str">
        <f aca="false">IF(AND(I846="",N(J846)=0),"",N(I846)+N(J846))</f>
        <v/>
      </c>
      <c r="L846" s="32" t="str">
        <f aca="false">IF(OR(E846="",F846=""),"",F846*IFERROR(INDEX(Товары!$C$4:$C$200,MATCH(E846,Товары!$B$4:$B$200,0)),0))</f>
        <v/>
      </c>
      <c r="M846" s="32" t="str">
        <f aca="false">IF(I846="","",I846-L846)</f>
        <v/>
      </c>
      <c r="N846" s="28"/>
      <c r="O846" s="28"/>
      <c r="P846" s="28"/>
      <c r="Q846" s="28"/>
      <c r="R846" s="35"/>
      <c r="S846" s="28"/>
    </row>
    <row r="847" customFormat="false" ht="15" hidden="false" customHeight="false" outlineLevel="0" collapsed="false">
      <c r="A847" s="34" t="str">
        <f aca="false">IF(E847="","",ROW()-3)</f>
        <v/>
      </c>
      <c r="B847" s="35"/>
      <c r="C847" s="28"/>
      <c r="D847" s="28"/>
      <c r="E847" s="28"/>
      <c r="F847" s="28"/>
      <c r="G847" s="32" t="str">
        <f aca="false">IF(E847="","",IFERROR(INDEX(Товары!$D$4:$D$200,MATCH(E847,Товары!$B$4:$B$200,0)),0))</f>
        <v/>
      </c>
      <c r="H847" s="29"/>
      <c r="I847" s="32" t="str">
        <f aca="false">IF(OR(E847="",F847=""),"",F847*G847-N(H847))</f>
        <v/>
      </c>
      <c r="J847" s="29"/>
      <c r="K847" s="32" t="str">
        <f aca="false">IF(AND(I847="",N(J847)=0),"",N(I847)+N(J847))</f>
        <v/>
      </c>
      <c r="L847" s="32" t="str">
        <f aca="false">IF(OR(E847="",F847=""),"",F847*IFERROR(INDEX(Товары!$C$4:$C$200,MATCH(E847,Товары!$B$4:$B$200,0)),0))</f>
        <v/>
      </c>
      <c r="M847" s="32" t="str">
        <f aca="false">IF(I847="","",I847-L847)</f>
        <v/>
      </c>
      <c r="N847" s="28"/>
      <c r="O847" s="28"/>
      <c r="P847" s="28"/>
      <c r="Q847" s="28"/>
      <c r="R847" s="35"/>
      <c r="S847" s="28"/>
    </row>
    <row r="848" customFormat="false" ht="15" hidden="false" customHeight="false" outlineLevel="0" collapsed="false">
      <c r="A848" s="34" t="str">
        <f aca="false">IF(E848="","",ROW()-3)</f>
        <v/>
      </c>
      <c r="B848" s="35"/>
      <c r="C848" s="28"/>
      <c r="D848" s="28"/>
      <c r="E848" s="28"/>
      <c r="F848" s="28"/>
      <c r="G848" s="32" t="str">
        <f aca="false">IF(E848="","",IFERROR(INDEX(Товары!$D$4:$D$200,MATCH(E848,Товары!$B$4:$B$200,0)),0))</f>
        <v/>
      </c>
      <c r="H848" s="29"/>
      <c r="I848" s="32" t="str">
        <f aca="false">IF(OR(E848="",F848=""),"",F848*G848-N(H848))</f>
        <v/>
      </c>
      <c r="J848" s="29"/>
      <c r="K848" s="32" t="str">
        <f aca="false">IF(AND(I848="",N(J848)=0),"",N(I848)+N(J848))</f>
        <v/>
      </c>
      <c r="L848" s="32" t="str">
        <f aca="false">IF(OR(E848="",F848=""),"",F848*IFERROR(INDEX(Товары!$C$4:$C$200,MATCH(E848,Товары!$B$4:$B$200,0)),0))</f>
        <v/>
      </c>
      <c r="M848" s="32" t="str">
        <f aca="false">IF(I848="","",I848-L848)</f>
        <v/>
      </c>
      <c r="N848" s="28"/>
      <c r="O848" s="28"/>
      <c r="P848" s="28"/>
      <c r="Q848" s="28"/>
      <c r="R848" s="35"/>
      <c r="S848" s="28"/>
    </row>
    <row r="849" customFormat="false" ht="15" hidden="false" customHeight="false" outlineLevel="0" collapsed="false">
      <c r="A849" s="34" t="str">
        <f aca="false">IF(E849="","",ROW()-3)</f>
        <v/>
      </c>
      <c r="B849" s="35"/>
      <c r="C849" s="28"/>
      <c r="D849" s="28"/>
      <c r="E849" s="28"/>
      <c r="F849" s="28"/>
      <c r="G849" s="32" t="str">
        <f aca="false">IF(E849="","",IFERROR(INDEX(Товары!$D$4:$D$200,MATCH(E849,Товары!$B$4:$B$200,0)),0))</f>
        <v/>
      </c>
      <c r="H849" s="29"/>
      <c r="I849" s="32" t="str">
        <f aca="false">IF(OR(E849="",F849=""),"",F849*G849-N(H849))</f>
        <v/>
      </c>
      <c r="J849" s="29"/>
      <c r="K849" s="32" t="str">
        <f aca="false">IF(AND(I849="",N(J849)=0),"",N(I849)+N(J849))</f>
        <v/>
      </c>
      <c r="L849" s="32" t="str">
        <f aca="false">IF(OR(E849="",F849=""),"",F849*IFERROR(INDEX(Товары!$C$4:$C$200,MATCH(E849,Товары!$B$4:$B$200,0)),0))</f>
        <v/>
      </c>
      <c r="M849" s="32" t="str">
        <f aca="false">IF(I849="","",I849-L849)</f>
        <v/>
      </c>
      <c r="N849" s="28"/>
      <c r="O849" s="28"/>
      <c r="P849" s="28"/>
      <c r="Q849" s="28"/>
      <c r="R849" s="35"/>
      <c r="S849" s="28"/>
    </row>
    <row r="850" customFormat="false" ht="15" hidden="false" customHeight="false" outlineLevel="0" collapsed="false">
      <c r="A850" s="34" t="str">
        <f aca="false">IF(E850="","",ROW()-3)</f>
        <v/>
      </c>
      <c r="B850" s="35"/>
      <c r="C850" s="28"/>
      <c r="D850" s="28"/>
      <c r="E850" s="28"/>
      <c r="F850" s="28"/>
      <c r="G850" s="32" t="str">
        <f aca="false">IF(E850="","",IFERROR(INDEX(Товары!$D$4:$D$200,MATCH(E850,Товары!$B$4:$B$200,0)),0))</f>
        <v/>
      </c>
      <c r="H850" s="29"/>
      <c r="I850" s="32" t="str">
        <f aca="false">IF(OR(E850="",F850=""),"",F850*G850-N(H850))</f>
        <v/>
      </c>
      <c r="J850" s="29"/>
      <c r="K850" s="32" t="str">
        <f aca="false">IF(AND(I850="",N(J850)=0),"",N(I850)+N(J850))</f>
        <v/>
      </c>
      <c r="L850" s="32" t="str">
        <f aca="false">IF(OR(E850="",F850=""),"",F850*IFERROR(INDEX(Товары!$C$4:$C$200,MATCH(E850,Товары!$B$4:$B$200,0)),0))</f>
        <v/>
      </c>
      <c r="M850" s="32" t="str">
        <f aca="false">IF(I850="","",I850-L850)</f>
        <v/>
      </c>
      <c r="N850" s="28"/>
      <c r="O850" s="28"/>
      <c r="P850" s="28"/>
      <c r="Q850" s="28"/>
      <c r="R850" s="35"/>
      <c r="S850" s="28"/>
    </row>
    <row r="851" customFormat="false" ht="15" hidden="false" customHeight="false" outlineLevel="0" collapsed="false">
      <c r="A851" s="34" t="str">
        <f aca="false">IF(E851="","",ROW()-3)</f>
        <v/>
      </c>
      <c r="B851" s="35"/>
      <c r="C851" s="28"/>
      <c r="D851" s="28"/>
      <c r="E851" s="28"/>
      <c r="F851" s="28"/>
      <c r="G851" s="32" t="str">
        <f aca="false">IF(E851="","",IFERROR(INDEX(Товары!$D$4:$D$200,MATCH(E851,Товары!$B$4:$B$200,0)),0))</f>
        <v/>
      </c>
      <c r="H851" s="29"/>
      <c r="I851" s="32" t="str">
        <f aca="false">IF(OR(E851="",F851=""),"",F851*G851-N(H851))</f>
        <v/>
      </c>
      <c r="J851" s="29"/>
      <c r="K851" s="32" t="str">
        <f aca="false">IF(AND(I851="",N(J851)=0),"",N(I851)+N(J851))</f>
        <v/>
      </c>
      <c r="L851" s="32" t="str">
        <f aca="false">IF(OR(E851="",F851=""),"",F851*IFERROR(INDEX(Товары!$C$4:$C$200,MATCH(E851,Товары!$B$4:$B$200,0)),0))</f>
        <v/>
      </c>
      <c r="M851" s="32" t="str">
        <f aca="false">IF(I851="","",I851-L851)</f>
        <v/>
      </c>
      <c r="N851" s="28"/>
      <c r="O851" s="28"/>
      <c r="P851" s="28"/>
      <c r="Q851" s="28"/>
      <c r="R851" s="35"/>
      <c r="S851" s="28"/>
    </row>
    <row r="852" customFormat="false" ht="15" hidden="false" customHeight="false" outlineLevel="0" collapsed="false">
      <c r="A852" s="34" t="str">
        <f aca="false">IF(E852="","",ROW()-3)</f>
        <v/>
      </c>
      <c r="B852" s="35"/>
      <c r="C852" s="28"/>
      <c r="D852" s="28"/>
      <c r="E852" s="28"/>
      <c r="F852" s="28"/>
      <c r="G852" s="32" t="str">
        <f aca="false">IF(E852="","",IFERROR(INDEX(Товары!$D$4:$D$200,MATCH(E852,Товары!$B$4:$B$200,0)),0))</f>
        <v/>
      </c>
      <c r="H852" s="29"/>
      <c r="I852" s="32" t="str">
        <f aca="false">IF(OR(E852="",F852=""),"",F852*G852-N(H852))</f>
        <v/>
      </c>
      <c r="J852" s="29"/>
      <c r="K852" s="32" t="str">
        <f aca="false">IF(AND(I852="",N(J852)=0),"",N(I852)+N(J852))</f>
        <v/>
      </c>
      <c r="L852" s="32" t="str">
        <f aca="false">IF(OR(E852="",F852=""),"",F852*IFERROR(INDEX(Товары!$C$4:$C$200,MATCH(E852,Товары!$B$4:$B$200,0)),0))</f>
        <v/>
      </c>
      <c r="M852" s="32" t="str">
        <f aca="false">IF(I852="","",I852-L852)</f>
        <v/>
      </c>
      <c r="N852" s="28"/>
      <c r="O852" s="28"/>
      <c r="P852" s="28"/>
      <c r="Q852" s="28"/>
      <c r="R852" s="35"/>
      <c r="S852" s="28"/>
    </row>
    <row r="853" customFormat="false" ht="15" hidden="false" customHeight="false" outlineLevel="0" collapsed="false">
      <c r="A853" s="34" t="str">
        <f aca="false">IF(E853="","",ROW()-3)</f>
        <v/>
      </c>
      <c r="B853" s="35"/>
      <c r="C853" s="28"/>
      <c r="D853" s="28"/>
      <c r="E853" s="28"/>
      <c r="F853" s="28"/>
      <c r="G853" s="32" t="str">
        <f aca="false">IF(E853="","",IFERROR(INDEX(Товары!$D$4:$D$200,MATCH(E853,Товары!$B$4:$B$200,0)),0))</f>
        <v/>
      </c>
      <c r="H853" s="29"/>
      <c r="I853" s="32" t="str">
        <f aca="false">IF(OR(E853="",F853=""),"",F853*G853-N(H853))</f>
        <v/>
      </c>
      <c r="J853" s="29"/>
      <c r="K853" s="32" t="str">
        <f aca="false">IF(AND(I853="",N(J853)=0),"",N(I853)+N(J853))</f>
        <v/>
      </c>
      <c r="L853" s="32" t="str">
        <f aca="false">IF(OR(E853="",F853=""),"",F853*IFERROR(INDEX(Товары!$C$4:$C$200,MATCH(E853,Товары!$B$4:$B$200,0)),0))</f>
        <v/>
      </c>
      <c r="M853" s="32" t="str">
        <f aca="false">IF(I853="","",I853-L853)</f>
        <v/>
      </c>
      <c r="N853" s="28"/>
      <c r="O853" s="28"/>
      <c r="P853" s="28"/>
      <c r="Q853" s="28"/>
      <c r="R853" s="35"/>
      <c r="S853" s="28"/>
    </row>
    <row r="854" customFormat="false" ht="15" hidden="false" customHeight="false" outlineLevel="0" collapsed="false">
      <c r="A854" s="34" t="str">
        <f aca="false">IF(E854="","",ROW()-3)</f>
        <v/>
      </c>
      <c r="B854" s="35"/>
      <c r="C854" s="28"/>
      <c r="D854" s="28"/>
      <c r="E854" s="28"/>
      <c r="F854" s="28"/>
      <c r="G854" s="32" t="str">
        <f aca="false">IF(E854="","",IFERROR(INDEX(Товары!$D$4:$D$200,MATCH(E854,Товары!$B$4:$B$200,0)),0))</f>
        <v/>
      </c>
      <c r="H854" s="29"/>
      <c r="I854" s="32" t="str">
        <f aca="false">IF(OR(E854="",F854=""),"",F854*G854-N(H854))</f>
        <v/>
      </c>
      <c r="J854" s="29"/>
      <c r="K854" s="32" t="str">
        <f aca="false">IF(AND(I854="",N(J854)=0),"",N(I854)+N(J854))</f>
        <v/>
      </c>
      <c r="L854" s="32" t="str">
        <f aca="false">IF(OR(E854="",F854=""),"",F854*IFERROR(INDEX(Товары!$C$4:$C$200,MATCH(E854,Товары!$B$4:$B$200,0)),0))</f>
        <v/>
      </c>
      <c r="M854" s="32" t="str">
        <f aca="false">IF(I854="","",I854-L854)</f>
        <v/>
      </c>
      <c r="N854" s="28"/>
      <c r="O854" s="28"/>
      <c r="P854" s="28"/>
      <c r="Q854" s="28"/>
      <c r="R854" s="35"/>
      <c r="S854" s="28"/>
    </row>
    <row r="855" customFormat="false" ht="15" hidden="false" customHeight="false" outlineLevel="0" collapsed="false">
      <c r="A855" s="34" t="str">
        <f aca="false">IF(E855="","",ROW()-3)</f>
        <v/>
      </c>
      <c r="B855" s="35"/>
      <c r="C855" s="28"/>
      <c r="D855" s="28"/>
      <c r="E855" s="28"/>
      <c r="F855" s="28"/>
      <c r="G855" s="32" t="str">
        <f aca="false">IF(E855="","",IFERROR(INDEX(Товары!$D$4:$D$200,MATCH(E855,Товары!$B$4:$B$200,0)),0))</f>
        <v/>
      </c>
      <c r="H855" s="29"/>
      <c r="I855" s="32" t="str">
        <f aca="false">IF(OR(E855="",F855=""),"",F855*G855-N(H855))</f>
        <v/>
      </c>
      <c r="J855" s="29"/>
      <c r="K855" s="32" t="str">
        <f aca="false">IF(AND(I855="",N(J855)=0),"",N(I855)+N(J855))</f>
        <v/>
      </c>
      <c r="L855" s="32" t="str">
        <f aca="false">IF(OR(E855="",F855=""),"",F855*IFERROR(INDEX(Товары!$C$4:$C$200,MATCH(E855,Товары!$B$4:$B$200,0)),0))</f>
        <v/>
      </c>
      <c r="M855" s="32" t="str">
        <f aca="false">IF(I855="","",I855-L855)</f>
        <v/>
      </c>
      <c r="N855" s="28"/>
      <c r="O855" s="28"/>
      <c r="P855" s="28"/>
      <c r="Q855" s="28"/>
      <c r="R855" s="35"/>
      <c r="S855" s="28"/>
    </row>
    <row r="856" customFormat="false" ht="15" hidden="false" customHeight="false" outlineLevel="0" collapsed="false">
      <c r="A856" s="34" t="str">
        <f aca="false">IF(E856="","",ROW()-3)</f>
        <v/>
      </c>
      <c r="B856" s="35"/>
      <c r="C856" s="28"/>
      <c r="D856" s="28"/>
      <c r="E856" s="28"/>
      <c r="F856" s="28"/>
      <c r="G856" s="32" t="str">
        <f aca="false">IF(E856="","",IFERROR(INDEX(Товары!$D$4:$D$200,MATCH(E856,Товары!$B$4:$B$200,0)),0))</f>
        <v/>
      </c>
      <c r="H856" s="29"/>
      <c r="I856" s="32" t="str">
        <f aca="false">IF(OR(E856="",F856=""),"",F856*G856-N(H856))</f>
        <v/>
      </c>
      <c r="J856" s="29"/>
      <c r="K856" s="32" t="str">
        <f aca="false">IF(AND(I856="",N(J856)=0),"",N(I856)+N(J856))</f>
        <v/>
      </c>
      <c r="L856" s="32" t="str">
        <f aca="false">IF(OR(E856="",F856=""),"",F856*IFERROR(INDEX(Товары!$C$4:$C$200,MATCH(E856,Товары!$B$4:$B$200,0)),0))</f>
        <v/>
      </c>
      <c r="M856" s="32" t="str">
        <f aca="false">IF(I856="","",I856-L856)</f>
        <v/>
      </c>
      <c r="N856" s="28"/>
      <c r="O856" s="28"/>
      <c r="P856" s="28"/>
      <c r="Q856" s="28"/>
      <c r="R856" s="35"/>
      <c r="S856" s="28"/>
    </row>
    <row r="857" customFormat="false" ht="15" hidden="false" customHeight="false" outlineLevel="0" collapsed="false">
      <c r="A857" s="34" t="str">
        <f aca="false">IF(E857="","",ROW()-3)</f>
        <v/>
      </c>
      <c r="B857" s="35"/>
      <c r="C857" s="28"/>
      <c r="D857" s="28"/>
      <c r="E857" s="28"/>
      <c r="F857" s="28"/>
      <c r="G857" s="32" t="str">
        <f aca="false">IF(E857="","",IFERROR(INDEX(Товары!$D$4:$D$200,MATCH(E857,Товары!$B$4:$B$200,0)),0))</f>
        <v/>
      </c>
      <c r="H857" s="29"/>
      <c r="I857" s="32" t="str">
        <f aca="false">IF(OR(E857="",F857=""),"",F857*G857-N(H857))</f>
        <v/>
      </c>
      <c r="J857" s="29"/>
      <c r="K857" s="32" t="str">
        <f aca="false">IF(AND(I857="",N(J857)=0),"",N(I857)+N(J857))</f>
        <v/>
      </c>
      <c r="L857" s="32" t="str">
        <f aca="false">IF(OR(E857="",F857=""),"",F857*IFERROR(INDEX(Товары!$C$4:$C$200,MATCH(E857,Товары!$B$4:$B$200,0)),0))</f>
        <v/>
      </c>
      <c r="M857" s="32" t="str">
        <f aca="false">IF(I857="","",I857-L857)</f>
        <v/>
      </c>
      <c r="N857" s="28"/>
      <c r="O857" s="28"/>
      <c r="P857" s="28"/>
      <c r="Q857" s="28"/>
      <c r="R857" s="35"/>
      <c r="S857" s="28"/>
    </row>
    <row r="858" customFormat="false" ht="15" hidden="false" customHeight="false" outlineLevel="0" collapsed="false">
      <c r="A858" s="34" t="str">
        <f aca="false">IF(E858="","",ROW()-3)</f>
        <v/>
      </c>
      <c r="B858" s="35"/>
      <c r="C858" s="28"/>
      <c r="D858" s="28"/>
      <c r="E858" s="28"/>
      <c r="F858" s="28"/>
      <c r="G858" s="32" t="str">
        <f aca="false">IF(E858="","",IFERROR(INDEX(Товары!$D$4:$D$200,MATCH(E858,Товары!$B$4:$B$200,0)),0))</f>
        <v/>
      </c>
      <c r="H858" s="29"/>
      <c r="I858" s="32" t="str">
        <f aca="false">IF(OR(E858="",F858=""),"",F858*G858-N(H858))</f>
        <v/>
      </c>
      <c r="J858" s="29"/>
      <c r="K858" s="32" t="str">
        <f aca="false">IF(AND(I858="",N(J858)=0),"",N(I858)+N(J858))</f>
        <v/>
      </c>
      <c r="L858" s="32" t="str">
        <f aca="false">IF(OR(E858="",F858=""),"",F858*IFERROR(INDEX(Товары!$C$4:$C$200,MATCH(E858,Товары!$B$4:$B$200,0)),0))</f>
        <v/>
      </c>
      <c r="M858" s="32" t="str">
        <f aca="false">IF(I858="","",I858-L858)</f>
        <v/>
      </c>
      <c r="N858" s="28"/>
      <c r="O858" s="28"/>
      <c r="P858" s="28"/>
      <c r="Q858" s="28"/>
      <c r="R858" s="35"/>
      <c r="S858" s="28"/>
    </row>
    <row r="859" customFormat="false" ht="15" hidden="false" customHeight="false" outlineLevel="0" collapsed="false">
      <c r="A859" s="34" t="str">
        <f aca="false">IF(E859="","",ROW()-3)</f>
        <v/>
      </c>
      <c r="B859" s="35"/>
      <c r="C859" s="28"/>
      <c r="D859" s="28"/>
      <c r="E859" s="28"/>
      <c r="F859" s="28"/>
      <c r="G859" s="32" t="str">
        <f aca="false">IF(E859="","",IFERROR(INDEX(Товары!$D$4:$D$200,MATCH(E859,Товары!$B$4:$B$200,0)),0))</f>
        <v/>
      </c>
      <c r="H859" s="29"/>
      <c r="I859" s="32" t="str">
        <f aca="false">IF(OR(E859="",F859=""),"",F859*G859-N(H859))</f>
        <v/>
      </c>
      <c r="J859" s="29"/>
      <c r="K859" s="32" t="str">
        <f aca="false">IF(AND(I859="",N(J859)=0),"",N(I859)+N(J859))</f>
        <v/>
      </c>
      <c r="L859" s="32" t="str">
        <f aca="false">IF(OR(E859="",F859=""),"",F859*IFERROR(INDEX(Товары!$C$4:$C$200,MATCH(E859,Товары!$B$4:$B$200,0)),0))</f>
        <v/>
      </c>
      <c r="M859" s="32" t="str">
        <f aca="false">IF(I859="","",I859-L859)</f>
        <v/>
      </c>
      <c r="N859" s="28"/>
      <c r="O859" s="28"/>
      <c r="P859" s="28"/>
      <c r="Q859" s="28"/>
      <c r="R859" s="35"/>
      <c r="S859" s="28"/>
    </row>
    <row r="860" customFormat="false" ht="15" hidden="false" customHeight="false" outlineLevel="0" collapsed="false">
      <c r="A860" s="34" t="str">
        <f aca="false">IF(E860="","",ROW()-3)</f>
        <v/>
      </c>
      <c r="B860" s="35"/>
      <c r="C860" s="28"/>
      <c r="D860" s="28"/>
      <c r="E860" s="28"/>
      <c r="F860" s="28"/>
      <c r="G860" s="32" t="str">
        <f aca="false">IF(E860="","",IFERROR(INDEX(Товары!$D$4:$D$200,MATCH(E860,Товары!$B$4:$B$200,0)),0))</f>
        <v/>
      </c>
      <c r="H860" s="29"/>
      <c r="I860" s="32" t="str">
        <f aca="false">IF(OR(E860="",F860=""),"",F860*G860-N(H860))</f>
        <v/>
      </c>
      <c r="J860" s="29"/>
      <c r="K860" s="32" t="str">
        <f aca="false">IF(AND(I860="",N(J860)=0),"",N(I860)+N(J860))</f>
        <v/>
      </c>
      <c r="L860" s="32" t="str">
        <f aca="false">IF(OR(E860="",F860=""),"",F860*IFERROR(INDEX(Товары!$C$4:$C$200,MATCH(E860,Товары!$B$4:$B$200,0)),0))</f>
        <v/>
      </c>
      <c r="M860" s="32" t="str">
        <f aca="false">IF(I860="","",I860-L860)</f>
        <v/>
      </c>
      <c r="N860" s="28"/>
      <c r="O860" s="28"/>
      <c r="P860" s="28"/>
      <c r="Q860" s="28"/>
      <c r="R860" s="35"/>
      <c r="S860" s="28"/>
    </row>
    <row r="861" customFormat="false" ht="15" hidden="false" customHeight="false" outlineLevel="0" collapsed="false">
      <c r="A861" s="34" t="str">
        <f aca="false">IF(E861="","",ROW()-3)</f>
        <v/>
      </c>
      <c r="B861" s="35"/>
      <c r="C861" s="28"/>
      <c r="D861" s="28"/>
      <c r="E861" s="28"/>
      <c r="F861" s="28"/>
      <c r="G861" s="32" t="str">
        <f aca="false">IF(E861="","",IFERROR(INDEX(Товары!$D$4:$D$200,MATCH(E861,Товары!$B$4:$B$200,0)),0))</f>
        <v/>
      </c>
      <c r="H861" s="29"/>
      <c r="I861" s="32" t="str">
        <f aca="false">IF(OR(E861="",F861=""),"",F861*G861-N(H861))</f>
        <v/>
      </c>
      <c r="J861" s="29"/>
      <c r="K861" s="32" t="str">
        <f aca="false">IF(AND(I861="",N(J861)=0),"",N(I861)+N(J861))</f>
        <v/>
      </c>
      <c r="L861" s="32" t="str">
        <f aca="false">IF(OR(E861="",F861=""),"",F861*IFERROR(INDEX(Товары!$C$4:$C$200,MATCH(E861,Товары!$B$4:$B$200,0)),0))</f>
        <v/>
      </c>
      <c r="M861" s="32" t="str">
        <f aca="false">IF(I861="","",I861-L861)</f>
        <v/>
      </c>
      <c r="N861" s="28"/>
      <c r="O861" s="28"/>
      <c r="P861" s="28"/>
      <c r="Q861" s="28"/>
      <c r="R861" s="35"/>
      <c r="S861" s="28"/>
    </row>
    <row r="862" customFormat="false" ht="15" hidden="false" customHeight="false" outlineLevel="0" collapsed="false">
      <c r="A862" s="34" t="str">
        <f aca="false">IF(E862="","",ROW()-3)</f>
        <v/>
      </c>
      <c r="B862" s="35"/>
      <c r="C862" s="28"/>
      <c r="D862" s="28"/>
      <c r="E862" s="28"/>
      <c r="F862" s="28"/>
      <c r="G862" s="32" t="str">
        <f aca="false">IF(E862="","",IFERROR(INDEX(Товары!$D$4:$D$200,MATCH(E862,Товары!$B$4:$B$200,0)),0))</f>
        <v/>
      </c>
      <c r="H862" s="29"/>
      <c r="I862" s="32" t="str">
        <f aca="false">IF(OR(E862="",F862=""),"",F862*G862-N(H862))</f>
        <v/>
      </c>
      <c r="J862" s="29"/>
      <c r="K862" s="32" t="str">
        <f aca="false">IF(AND(I862="",N(J862)=0),"",N(I862)+N(J862))</f>
        <v/>
      </c>
      <c r="L862" s="32" t="str">
        <f aca="false">IF(OR(E862="",F862=""),"",F862*IFERROR(INDEX(Товары!$C$4:$C$200,MATCH(E862,Товары!$B$4:$B$200,0)),0))</f>
        <v/>
      </c>
      <c r="M862" s="32" t="str">
        <f aca="false">IF(I862="","",I862-L862)</f>
        <v/>
      </c>
      <c r="N862" s="28"/>
      <c r="O862" s="28"/>
      <c r="P862" s="28"/>
      <c r="Q862" s="28"/>
      <c r="R862" s="35"/>
      <c r="S862" s="28"/>
    </row>
    <row r="863" customFormat="false" ht="15" hidden="false" customHeight="false" outlineLevel="0" collapsed="false">
      <c r="A863" s="34" t="str">
        <f aca="false">IF(E863="","",ROW()-3)</f>
        <v/>
      </c>
      <c r="B863" s="35"/>
      <c r="C863" s="28"/>
      <c r="D863" s="28"/>
      <c r="E863" s="28"/>
      <c r="F863" s="28"/>
      <c r="G863" s="32" t="str">
        <f aca="false">IF(E863="","",IFERROR(INDEX(Товары!$D$4:$D$200,MATCH(E863,Товары!$B$4:$B$200,0)),0))</f>
        <v/>
      </c>
      <c r="H863" s="29"/>
      <c r="I863" s="32" t="str">
        <f aca="false">IF(OR(E863="",F863=""),"",F863*G863-N(H863))</f>
        <v/>
      </c>
      <c r="J863" s="29"/>
      <c r="K863" s="32" t="str">
        <f aca="false">IF(AND(I863="",N(J863)=0),"",N(I863)+N(J863))</f>
        <v/>
      </c>
      <c r="L863" s="32" t="str">
        <f aca="false">IF(OR(E863="",F863=""),"",F863*IFERROR(INDEX(Товары!$C$4:$C$200,MATCH(E863,Товары!$B$4:$B$200,0)),0))</f>
        <v/>
      </c>
      <c r="M863" s="32" t="str">
        <f aca="false">IF(I863="","",I863-L863)</f>
        <v/>
      </c>
      <c r="N863" s="28"/>
      <c r="O863" s="28"/>
      <c r="P863" s="28"/>
      <c r="Q863" s="28"/>
      <c r="R863" s="35"/>
      <c r="S863" s="28"/>
    </row>
    <row r="864" customFormat="false" ht="15" hidden="false" customHeight="false" outlineLevel="0" collapsed="false">
      <c r="A864" s="34" t="str">
        <f aca="false">IF(E864="","",ROW()-3)</f>
        <v/>
      </c>
      <c r="B864" s="35"/>
      <c r="C864" s="28"/>
      <c r="D864" s="28"/>
      <c r="E864" s="28"/>
      <c r="F864" s="28"/>
      <c r="G864" s="32" t="str">
        <f aca="false">IF(E864="","",IFERROR(INDEX(Товары!$D$4:$D$200,MATCH(E864,Товары!$B$4:$B$200,0)),0))</f>
        <v/>
      </c>
      <c r="H864" s="29"/>
      <c r="I864" s="32" t="str">
        <f aca="false">IF(OR(E864="",F864=""),"",F864*G864-N(H864))</f>
        <v/>
      </c>
      <c r="J864" s="29"/>
      <c r="K864" s="32" t="str">
        <f aca="false">IF(AND(I864="",N(J864)=0),"",N(I864)+N(J864))</f>
        <v/>
      </c>
      <c r="L864" s="32" t="str">
        <f aca="false">IF(OR(E864="",F864=""),"",F864*IFERROR(INDEX(Товары!$C$4:$C$200,MATCH(E864,Товары!$B$4:$B$200,0)),0))</f>
        <v/>
      </c>
      <c r="M864" s="32" t="str">
        <f aca="false">IF(I864="","",I864-L864)</f>
        <v/>
      </c>
      <c r="N864" s="28"/>
      <c r="O864" s="28"/>
      <c r="P864" s="28"/>
      <c r="Q864" s="28"/>
      <c r="R864" s="35"/>
      <c r="S864" s="28"/>
    </row>
    <row r="865" customFormat="false" ht="15" hidden="false" customHeight="false" outlineLevel="0" collapsed="false">
      <c r="A865" s="34" t="str">
        <f aca="false">IF(E865="","",ROW()-3)</f>
        <v/>
      </c>
      <c r="B865" s="35"/>
      <c r="C865" s="28"/>
      <c r="D865" s="28"/>
      <c r="E865" s="28"/>
      <c r="F865" s="28"/>
      <c r="G865" s="32" t="str">
        <f aca="false">IF(E865="","",IFERROR(INDEX(Товары!$D$4:$D$200,MATCH(E865,Товары!$B$4:$B$200,0)),0))</f>
        <v/>
      </c>
      <c r="H865" s="29"/>
      <c r="I865" s="32" t="str">
        <f aca="false">IF(OR(E865="",F865=""),"",F865*G865-N(H865))</f>
        <v/>
      </c>
      <c r="J865" s="29"/>
      <c r="K865" s="32" t="str">
        <f aca="false">IF(AND(I865="",N(J865)=0),"",N(I865)+N(J865))</f>
        <v/>
      </c>
      <c r="L865" s="32" t="str">
        <f aca="false">IF(OR(E865="",F865=""),"",F865*IFERROR(INDEX(Товары!$C$4:$C$200,MATCH(E865,Товары!$B$4:$B$200,0)),0))</f>
        <v/>
      </c>
      <c r="M865" s="32" t="str">
        <f aca="false">IF(I865="","",I865-L865)</f>
        <v/>
      </c>
      <c r="N865" s="28"/>
      <c r="O865" s="28"/>
      <c r="P865" s="28"/>
      <c r="Q865" s="28"/>
      <c r="R865" s="35"/>
      <c r="S865" s="28"/>
    </row>
    <row r="866" customFormat="false" ht="15" hidden="false" customHeight="false" outlineLevel="0" collapsed="false">
      <c r="A866" s="34" t="str">
        <f aca="false">IF(E866="","",ROW()-3)</f>
        <v/>
      </c>
      <c r="B866" s="35"/>
      <c r="C866" s="28"/>
      <c r="D866" s="28"/>
      <c r="E866" s="28"/>
      <c r="F866" s="28"/>
      <c r="G866" s="32" t="str">
        <f aca="false">IF(E866="","",IFERROR(INDEX(Товары!$D$4:$D$200,MATCH(E866,Товары!$B$4:$B$200,0)),0))</f>
        <v/>
      </c>
      <c r="H866" s="29"/>
      <c r="I866" s="32" t="str">
        <f aca="false">IF(OR(E866="",F866=""),"",F866*G866-N(H866))</f>
        <v/>
      </c>
      <c r="J866" s="29"/>
      <c r="K866" s="32" t="str">
        <f aca="false">IF(AND(I866="",N(J866)=0),"",N(I866)+N(J866))</f>
        <v/>
      </c>
      <c r="L866" s="32" t="str">
        <f aca="false">IF(OR(E866="",F866=""),"",F866*IFERROR(INDEX(Товары!$C$4:$C$200,MATCH(E866,Товары!$B$4:$B$200,0)),0))</f>
        <v/>
      </c>
      <c r="M866" s="32" t="str">
        <f aca="false">IF(I866="","",I866-L866)</f>
        <v/>
      </c>
      <c r="N866" s="28"/>
      <c r="O866" s="28"/>
      <c r="P866" s="28"/>
      <c r="Q866" s="28"/>
      <c r="R866" s="35"/>
      <c r="S866" s="28"/>
    </row>
    <row r="867" customFormat="false" ht="15" hidden="false" customHeight="false" outlineLevel="0" collapsed="false">
      <c r="A867" s="34" t="str">
        <f aca="false">IF(E867="","",ROW()-3)</f>
        <v/>
      </c>
      <c r="B867" s="35"/>
      <c r="C867" s="28"/>
      <c r="D867" s="28"/>
      <c r="E867" s="28"/>
      <c r="F867" s="28"/>
      <c r="G867" s="32" t="str">
        <f aca="false">IF(E867="","",IFERROR(INDEX(Товары!$D$4:$D$200,MATCH(E867,Товары!$B$4:$B$200,0)),0))</f>
        <v/>
      </c>
      <c r="H867" s="29"/>
      <c r="I867" s="32" t="str">
        <f aca="false">IF(OR(E867="",F867=""),"",F867*G867-N(H867))</f>
        <v/>
      </c>
      <c r="J867" s="29"/>
      <c r="K867" s="32" t="str">
        <f aca="false">IF(AND(I867="",N(J867)=0),"",N(I867)+N(J867))</f>
        <v/>
      </c>
      <c r="L867" s="32" t="str">
        <f aca="false">IF(OR(E867="",F867=""),"",F867*IFERROR(INDEX(Товары!$C$4:$C$200,MATCH(E867,Товары!$B$4:$B$200,0)),0))</f>
        <v/>
      </c>
      <c r="M867" s="32" t="str">
        <f aca="false">IF(I867="","",I867-L867)</f>
        <v/>
      </c>
      <c r="N867" s="28"/>
      <c r="O867" s="28"/>
      <c r="P867" s="28"/>
      <c r="Q867" s="28"/>
      <c r="R867" s="35"/>
      <c r="S867" s="28"/>
    </row>
    <row r="868" customFormat="false" ht="15" hidden="false" customHeight="false" outlineLevel="0" collapsed="false">
      <c r="A868" s="34" t="str">
        <f aca="false">IF(E868="","",ROW()-3)</f>
        <v/>
      </c>
      <c r="B868" s="35"/>
      <c r="C868" s="28"/>
      <c r="D868" s="28"/>
      <c r="E868" s="28"/>
      <c r="F868" s="28"/>
      <c r="G868" s="32" t="str">
        <f aca="false">IF(E868="","",IFERROR(INDEX(Товары!$D$4:$D$200,MATCH(E868,Товары!$B$4:$B$200,0)),0))</f>
        <v/>
      </c>
      <c r="H868" s="29"/>
      <c r="I868" s="32" t="str">
        <f aca="false">IF(OR(E868="",F868=""),"",F868*G868-N(H868))</f>
        <v/>
      </c>
      <c r="J868" s="29"/>
      <c r="K868" s="32" t="str">
        <f aca="false">IF(AND(I868="",N(J868)=0),"",N(I868)+N(J868))</f>
        <v/>
      </c>
      <c r="L868" s="32" t="str">
        <f aca="false">IF(OR(E868="",F868=""),"",F868*IFERROR(INDEX(Товары!$C$4:$C$200,MATCH(E868,Товары!$B$4:$B$200,0)),0))</f>
        <v/>
      </c>
      <c r="M868" s="32" t="str">
        <f aca="false">IF(I868="","",I868-L868)</f>
        <v/>
      </c>
      <c r="N868" s="28"/>
      <c r="O868" s="28"/>
      <c r="P868" s="28"/>
      <c r="Q868" s="28"/>
      <c r="R868" s="35"/>
      <c r="S868" s="28"/>
    </row>
    <row r="869" customFormat="false" ht="15" hidden="false" customHeight="false" outlineLevel="0" collapsed="false">
      <c r="A869" s="34" t="str">
        <f aca="false">IF(E869="","",ROW()-3)</f>
        <v/>
      </c>
      <c r="B869" s="35"/>
      <c r="C869" s="28"/>
      <c r="D869" s="28"/>
      <c r="E869" s="28"/>
      <c r="F869" s="28"/>
      <c r="G869" s="32" t="str">
        <f aca="false">IF(E869="","",IFERROR(INDEX(Товары!$D$4:$D$200,MATCH(E869,Товары!$B$4:$B$200,0)),0))</f>
        <v/>
      </c>
      <c r="H869" s="29"/>
      <c r="I869" s="32" t="str">
        <f aca="false">IF(OR(E869="",F869=""),"",F869*G869-N(H869))</f>
        <v/>
      </c>
      <c r="J869" s="29"/>
      <c r="K869" s="32" t="str">
        <f aca="false">IF(AND(I869="",N(J869)=0),"",N(I869)+N(J869))</f>
        <v/>
      </c>
      <c r="L869" s="32" t="str">
        <f aca="false">IF(OR(E869="",F869=""),"",F869*IFERROR(INDEX(Товары!$C$4:$C$200,MATCH(E869,Товары!$B$4:$B$200,0)),0))</f>
        <v/>
      </c>
      <c r="M869" s="32" t="str">
        <f aca="false">IF(I869="","",I869-L869)</f>
        <v/>
      </c>
      <c r="N869" s="28"/>
      <c r="O869" s="28"/>
      <c r="P869" s="28"/>
      <c r="Q869" s="28"/>
      <c r="R869" s="35"/>
      <c r="S869" s="28"/>
    </row>
    <row r="870" customFormat="false" ht="15" hidden="false" customHeight="false" outlineLevel="0" collapsed="false">
      <c r="A870" s="34" t="str">
        <f aca="false">IF(E870="","",ROW()-3)</f>
        <v/>
      </c>
      <c r="B870" s="35"/>
      <c r="C870" s="28"/>
      <c r="D870" s="28"/>
      <c r="E870" s="28"/>
      <c r="F870" s="28"/>
      <c r="G870" s="32" t="str">
        <f aca="false">IF(E870="","",IFERROR(INDEX(Товары!$D$4:$D$200,MATCH(E870,Товары!$B$4:$B$200,0)),0))</f>
        <v/>
      </c>
      <c r="H870" s="29"/>
      <c r="I870" s="32" t="str">
        <f aca="false">IF(OR(E870="",F870=""),"",F870*G870-N(H870))</f>
        <v/>
      </c>
      <c r="J870" s="29"/>
      <c r="K870" s="32" t="str">
        <f aca="false">IF(AND(I870="",N(J870)=0),"",N(I870)+N(J870))</f>
        <v/>
      </c>
      <c r="L870" s="32" t="str">
        <f aca="false">IF(OR(E870="",F870=""),"",F870*IFERROR(INDEX(Товары!$C$4:$C$200,MATCH(E870,Товары!$B$4:$B$200,0)),0))</f>
        <v/>
      </c>
      <c r="M870" s="32" t="str">
        <f aca="false">IF(I870="","",I870-L870)</f>
        <v/>
      </c>
      <c r="N870" s="28"/>
      <c r="O870" s="28"/>
      <c r="P870" s="28"/>
      <c r="Q870" s="28"/>
      <c r="R870" s="35"/>
      <c r="S870" s="28"/>
    </row>
    <row r="871" customFormat="false" ht="15" hidden="false" customHeight="false" outlineLevel="0" collapsed="false">
      <c r="A871" s="34" t="str">
        <f aca="false">IF(E871="","",ROW()-3)</f>
        <v/>
      </c>
      <c r="B871" s="35"/>
      <c r="C871" s="28"/>
      <c r="D871" s="28"/>
      <c r="E871" s="28"/>
      <c r="F871" s="28"/>
      <c r="G871" s="32" t="str">
        <f aca="false">IF(E871="","",IFERROR(INDEX(Товары!$D$4:$D$200,MATCH(E871,Товары!$B$4:$B$200,0)),0))</f>
        <v/>
      </c>
      <c r="H871" s="29"/>
      <c r="I871" s="32" t="str">
        <f aca="false">IF(OR(E871="",F871=""),"",F871*G871-N(H871))</f>
        <v/>
      </c>
      <c r="J871" s="29"/>
      <c r="K871" s="32" t="str">
        <f aca="false">IF(AND(I871="",N(J871)=0),"",N(I871)+N(J871))</f>
        <v/>
      </c>
      <c r="L871" s="32" t="str">
        <f aca="false">IF(OR(E871="",F871=""),"",F871*IFERROR(INDEX(Товары!$C$4:$C$200,MATCH(E871,Товары!$B$4:$B$200,0)),0))</f>
        <v/>
      </c>
      <c r="M871" s="32" t="str">
        <f aca="false">IF(I871="","",I871-L871)</f>
        <v/>
      </c>
      <c r="N871" s="28"/>
      <c r="O871" s="28"/>
      <c r="P871" s="28"/>
      <c r="Q871" s="28"/>
      <c r="R871" s="35"/>
      <c r="S871" s="28"/>
    </row>
    <row r="872" customFormat="false" ht="15" hidden="false" customHeight="false" outlineLevel="0" collapsed="false">
      <c r="A872" s="34" t="str">
        <f aca="false">IF(E872="","",ROW()-3)</f>
        <v/>
      </c>
      <c r="B872" s="35"/>
      <c r="C872" s="28"/>
      <c r="D872" s="28"/>
      <c r="E872" s="28"/>
      <c r="F872" s="28"/>
      <c r="G872" s="32" t="str">
        <f aca="false">IF(E872="","",IFERROR(INDEX(Товары!$D$4:$D$200,MATCH(E872,Товары!$B$4:$B$200,0)),0))</f>
        <v/>
      </c>
      <c r="H872" s="29"/>
      <c r="I872" s="32" t="str">
        <f aca="false">IF(OR(E872="",F872=""),"",F872*G872-N(H872))</f>
        <v/>
      </c>
      <c r="J872" s="29"/>
      <c r="K872" s="32" t="str">
        <f aca="false">IF(AND(I872="",N(J872)=0),"",N(I872)+N(J872))</f>
        <v/>
      </c>
      <c r="L872" s="32" t="str">
        <f aca="false">IF(OR(E872="",F872=""),"",F872*IFERROR(INDEX(Товары!$C$4:$C$200,MATCH(E872,Товары!$B$4:$B$200,0)),0))</f>
        <v/>
      </c>
      <c r="M872" s="32" t="str">
        <f aca="false">IF(I872="","",I872-L872)</f>
        <v/>
      </c>
      <c r="N872" s="28"/>
      <c r="O872" s="28"/>
      <c r="P872" s="28"/>
      <c r="Q872" s="28"/>
      <c r="R872" s="35"/>
      <c r="S872" s="28"/>
    </row>
    <row r="873" customFormat="false" ht="15" hidden="false" customHeight="false" outlineLevel="0" collapsed="false">
      <c r="A873" s="34" t="str">
        <f aca="false">IF(E873="","",ROW()-3)</f>
        <v/>
      </c>
      <c r="B873" s="35"/>
      <c r="C873" s="28"/>
      <c r="D873" s="28"/>
      <c r="E873" s="28"/>
      <c r="F873" s="28"/>
      <c r="G873" s="32" t="str">
        <f aca="false">IF(E873="","",IFERROR(INDEX(Товары!$D$4:$D$200,MATCH(E873,Товары!$B$4:$B$200,0)),0))</f>
        <v/>
      </c>
      <c r="H873" s="29"/>
      <c r="I873" s="32" t="str">
        <f aca="false">IF(OR(E873="",F873=""),"",F873*G873-N(H873))</f>
        <v/>
      </c>
      <c r="J873" s="29"/>
      <c r="K873" s="32" t="str">
        <f aca="false">IF(AND(I873="",N(J873)=0),"",N(I873)+N(J873))</f>
        <v/>
      </c>
      <c r="L873" s="32" t="str">
        <f aca="false">IF(OR(E873="",F873=""),"",F873*IFERROR(INDEX(Товары!$C$4:$C$200,MATCH(E873,Товары!$B$4:$B$200,0)),0))</f>
        <v/>
      </c>
      <c r="M873" s="32" t="str">
        <f aca="false">IF(I873="","",I873-L873)</f>
        <v/>
      </c>
      <c r="N873" s="28"/>
      <c r="O873" s="28"/>
      <c r="P873" s="28"/>
      <c r="Q873" s="28"/>
      <c r="R873" s="35"/>
      <c r="S873" s="28"/>
    </row>
    <row r="874" customFormat="false" ht="15" hidden="false" customHeight="false" outlineLevel="0" collapsed="false">
      <c r="A874" s="34" t="str">
        <f aca="false">IF(E874="","",ROW()-3)</f>
        <v/>
      </c>
      <c r="B874" s="35"/>
      <c r="C874" s="28"/>
      <c r="D874" s="28"/>
      <c r="E874" s="28"/>
      <c r="F874" s="28"/>
      <c r="G874" s="32" t="str">
        <f aca="false">IF(E874="","",IFERROR(INDEX(Товары!$D$4:$D$200,MATCH(E874,Товары!$B$4:$B$200,0)),0))</f>
        <v/>
      </c>
      <c r="H874" s="29"/>
      <c r="I874" s="32" t="str">
        <f aca="false">IF(OR(E874="",F874=""),"",F874*G874-N(H874))</f>
        <v/>
      </c>
      <c r="J874" s="29"/>
      <c r="K874" s="32" t="str">
        <f aca="false">IF(AND(I874="",N(J874)=0),"",N(I874)+N(J874))</f>
        <v/>
      </c>
      <c r="L874" s="32" t="str">
        <f aca="false">IF(OR(E874="",F874=""),"",F874*IFERROR(INDEX(Товары!$C$4:$C$200,MATCH(E874,Товары!$B$4:$B$200,0)),0))</f>
        <v/>
      </c>
      <c r="M874" s="32" t="str">
        <f aca="false">IF(I874="","",I874-L874)</f>
        <v/>
      </c>
      <c r="N874" s="28"/>
      <c r="O874" s="28"/>
      <c r="P874" s="28"/>
      <c r="Q874" s="28"/>
      <c r="R874" s="35"/>
      <c r="S874" s="28"/>
    </row>
    <row r="875" customFormat="false" ht="15" hidden="false" customHeight="false" outlineLevel="0" collapsed="false">
      <c r="A875" s="34" t="str">
        <f aca="false">IF(E875="","",ROW()-3)</f>
        <v/>
      </c>
      <c r="B875" s="35"/>
      <c r="C875" s="28"/>
      <c r="D875" s="28"/>
      <c r="E875" s="28"/>
      <c r="F875" s="28"/>
      <c r="G875" s="32" t="str">
        <f aca="false">IF(E875="","",IFERROR(INDEX(Товары!$D$4:$D$200,MATCH(E875,Товары!$B$4:$B$200,0)),0))</f>
        <v/>
      </c>
      <c r="H875" s="29"/>
      <c r="I875" s="32" t="str">
        <f aca="false">IF(OR(E875="",F875=""),"",F875*G875-N(H875))</f>
        <v/>
      </c>
      <c r="J875" s="29"/>
      <c r="K875" s="32" t="str">
        <f aca="false">IF(AND(I875="",N(J875)=0),"",N(I875)+N(J875))</f>
        <v/>
      </c>
      <c r="L875" s="32" t="str">
        <f aca="false">IF(OR(E875="",F875=""),"",F875*IFERROR(INDEX(Товары!$C$4:$C$200,MATCH(E875,Товары!$B$4:$B$200,0)),0))</f>
        <v/>
      </c>
      <c r="M875" s="32" t="str">
        <f aca="false">IF(I875="","",I875-L875)</f>
        <v/>
      </c>
      <c r="N875" s="28"/>
      <c r="O875" s="28"/>
      <c r="P875" s="28"/>
      <c r="Q875" s="28"/>
      <c r="R875" s="35"/>
      <c r="S875" s="28"/>
    </row>
    <row r="876" customFormat="false" ht="15" hidden="false" customHeight="false" outlineLevel="0" collapsed="false">
      <c r="A876" s="34" t="str">
        <f aca="false">IF(E876="","",ROW()-3)</f>
        <v/>
      </c>
      <c r="B876" s="35"/>
      <c r="C876" s="28"/>
      <c r="D876" s="28"/>
      <c r="E876" s="28"/>
      <c r="F876" s="28"/>
      <c r="G876" s="32" t="str">
        <f aca="false">IF(E876="","",IFERROR(INDEX(Товары!$D$4:$D$200,MATCH(E876,Товары!$B$4:$B$200,0)),0))</f>
        <v/>
      </c>
      <c r="H876" s="29"/>
      <c r="I876" s="32" t="str">
        <f aca="false">IF(OR(E876="",F876=""),"",F876*G876-N(H876))</f>
        <v/>
      </c>
      <c r="J876" s="29"/>
      <c r="K876" s="32" t="str">
        <f aca="false">IF(AND(I876="",N(J876)=0),"",N(I876)+N(J876))</f>
        <v/>
      </c>
      <c r="L876" s="32" t="str">
        <f aca="false">IF(OR(E876="",F876=""),"",F876*IFERROR(INDEX(Товары!$C$4:$C$200,MATCH(E876,Товары!$B$4:$B$200,0)),0))</f>
        <v/>
      </c>
      <c r="M876" s="32" t="str">
        <f aca="false">IF(I876="","",I876-L876)</f>
        <v/>
      </c>
      <c r="N876" s="28"/>
      <c r="O876" s="28"/>
      <c r="P876" s="28"/>
      <c r="Q876" s="28"/>
      <c r="R876" s="35"/>
      <c r="S876" s="28"/>
    </row>
    <row r="877" customFormat="false" ht="15" hidden="false" customHeight="false" outlineLevel="0" collapsed="false">
      <c r="A877" s="34" t="str">
        <f aca="false">IF(E877="","",ROW()-3)</f>
        <v/>
      </c>
      <c r="B877" s="35"/>
      <c r="C877" s="28"/>
      <c r="D877" s="28"/>
      <c r="E877" s="28"/>
      <c r="F877" s="28"/>
      <c r="G877" s="32" t="str">
        <f aca="false">IF(E877="","",IFERROR(INDEX(Товары!$D$4:$D$200,MATCH(E877,Товары!$B$4:$B$200,0)),0))</f>
        <v/>
      </c>
      <c r="H877" s="29"/>
      <c r="I877" s="32" t="str">
        <f aca="false">IF(OR(E877="",F877=""),"",F877*G877-N(H877))</f>
        <v/>
      </c>
      <c r="J877" s="29"/>
      <c r="K877" s="32" t="str">
        <f aca="false">IF(AND(I877="",N(J877)=0),"",N(I877)+N(J877))</f>
        <v/>
      </c>
      <c r="L877" s="32" t="str">
        <f aca="false">IF(OR(E877="",F877=""),"",F877*IFERROR(INDEX(Товары!$C$4:$C$200,MATCH(E877,Товары!$B$4:$B$200,0)),0))</f>
        <v/>
      </c>
      <c r="M877" s="32" t="str">
        <f aca="false">IF(I877="","",I877-L877)</f>
        <v/>
      </c>
      <c r="N877" s="28"/>
      <c r="O877" s="28"/>
      <c r="P877" s="28"/>
      <c r="Q877" s="28"/>
      <c r="R877" s="35"/>
      <c r="S877" s="28"/>
    </row>
    <row r="878" customFormat="false" ht="15" hidden="false" customHeight="false" outlineLevel="0" collapsed="false">
      <c r="A878" s="34" t="str">
        <f aca="false">IF(E878="","",ROW()-3)</f>
        <v/>
      </c>
      <c r="B878" s="35"/>
      <c r="C878" s="28"/>
      <c r="D878" s="28"/>
      <c r="E878" s="28"/>
      <c r="F878" s="28"/>
      <c r="G878" s="32" t="str">
        <f aca="false">IF(E878="","",IFERROR(INDEX(Товары!$D$4:$D$200,MATCH(E878,Товары!$B$4:$B$200,0)),0))</f>
        <v/>
      </c>
      <c r="H878" s="29"/>
      <c r="I878" s="32" t="str">
        <f aca="false">IF(OR(E878="",F878=""),"",F878*G878-N(H878))</f>
        <v/>
      </c>
      <c r="J878" s="29"/>
      <c r="K878" s="32" t="str">
        <f aca="false">IF(AND(I878="",N(J878)=0),"",N(I878)+N(J878))</f>
        <v/>
      </c>
      <c r="L878" s="32" t="str">
        <f aca="false">IF(OR(E878="",F878=""),"",F878*IFERROR(INDEX(Товары!$C$4:$C$200,MATCH(E878,Товары!$B$4:$B$200,0)),0))</f>
        <v/>
      </c>
      <c r="M878" s="32" t="str">
        <f aca="false">IF(I878="","",I878-L878)</f>
        <v/>
      </c>
      <c r="N878" s="28"/>
      <c r="O878" s="28"/>
      <c r="P878" s="28"/>
      <c r="Q878" s="28"/>
      <c r="R878" s="35"/>
      <c r="S878" s="28"/>
    </row>
    <row r="879" customFormat="false" ht="15" hidden="false" customHeight="false" outlineLevel="0" collapsed="false">
      <c r="A879" s="34" t="str">
        <f aca="false">IF(E879="","",ROW()-3)</f>
        <v/>
      </c>
      <c r="B879" s="35"/>
      <c r="C879" s="28"/>
      <c r="D879" s="28"/>
      <c r="E879" s="28"/>
      <c r="F879" s="28"/>
      <c r="G879" s="32" t="str">
        <f aca="false">IF(E879="","",IFERROR(INDEX(Товары!$D$4:$D$200,MATCH(E879,Товары!$B$4:$B$200,0)),0))</f>
        <v/>
      </c>
      <c r="H879" s="29"/>
      <c r="I879" s="32" t="str">
        <f aca="false">IF(OR(E879="",F879=""),"",F879*G879-N(H879))</f>
        <v/>
      </c>
      <c r="J879" s="29"/>
      <c r="K879" s="32" t="str">
        <f aca="false">IF(AND(I879="",N(J879)=0),"",N(I879)+N(J879))</f>
        <v/>
      </c>
      <c r="L879" s="32" t="str">
        <f aca="false">IF(OR(E879="",F879=""),"",F879*IFERROR(INDEX(Товары!$C$4:$C$200,MATCH(E879,Товары!$B$4:$B$200,0)),0))</f>
        <v/>
      </c>
      <c r="M879" s="32" t="str">
        <f aca="false">IF(I879="","",I879-L879)</f>
        <v/>
      </c>
      <c r="N879" s="28"/>
      <c r="O879" s="28"/>
      <c r="P879" s="28"/>
      <c r="Q879" s="28"/>
      <c r="R879" s="35"/>
      <c r="S879" s="28"/>
    </row>
    <row r="880" customFormat="false" ht="15" hidden="false" customHeight="false" outlineLevel="0" collapsed="false">
      <c r="A880" s="34" t="str">
        <f aca="false">IF(E880="","",ROW()-3)</f>
        <v/>
      </c>
      <c r="B880" s="35"/>
      <c r="C880" s="28"/>
      <c r="D880" s="28"/>
      <c r="E880" s="28"/>
      <c r="F880" s="28"/>
      <c r="G880" s="32" t="str">
        <f aca="false">IF(E880="","",IFERROR(INDEX(Товары!$D$4:$D$200,MATCH(E880,Товары!$B$4:$B$200,0)),0))</f>
        <v/>
      </c>
      <c r="H880" s="29"/>
      <c r="I880" s="32" t="str">
        <f aca="false">IF(OR(E880="",F880=""),"",F880*G880-N(H880))</f>
        <v/>
      </c>
      <c r="J880" s="29"/>
      <c r="K880" s="32" t="str">
        <f aca="false">IF(AND(I880="",N(J880)=0),"",N(I880)+N(J880))</f>
        <v/>
      </c>
      <c r="L880" s="32" t="str">
        <f aca="false">IF(OR(E880="",F880=""),"",F880*IFERROR(INDEX(Товары!$C$4:$C$200,MATCH(E880,Товары!$B$4:$B$200,0)),0))</f>
        <v/>
      </c>
      <c r="M880" s="32" t="str">
        <f aca="false">IF(I880="","",I880-L880)</f>
        <v/>
      </c>
      <c r="N880" s="28"/>
      <c r="O880" s="28"/>
      <c r="P880" s="28"/>
      <c r="Q880" s="28"/>
      <c r="R880" s="35"/>
      <c r="S880" s="28"/>
    </row>
    <row r="881" customFormat="false" ht="15" hidden="false" customHeight="false" outlineLevel="0" collapsed="false">
      <c r="A881" s="34" t="str">
        <f aca="false">IF(E881="","",ROW()-3)</f>
        <v/>
      </c>
      <c r="B881" s="35"/>
      <c r="C881" s="28"/>
      <c r="D881" s="28"/>
      <c r="E881" s="28"/>
      <c r="F881" s="28"/>
      <c r="G881" s="32" t="str">
        <f aca="false">IF(E881="","",IFERROR(INDEX(Товары!$D$4:$D$200,MATCH(E881,Товары!$B$4:$B$200,0)),0))</f>
        <v/>
      </c>
      <c r="H881" s="29"/>
      <c r="I881" s="32" t="str">
        <f aca="false">IF(OR(E881="",F881=""),"",F881*G881-N(H881))</f>
        <v/>
      </c>
      <c r="J881" s="29"/>
      <c r="K881" s="32" t="str">
        <f aca="false">IF(AND(I881="",N(J881)=0),"",N(I881)+N(J881))</f>
        <v/>
      </c>
      <c r="L881" s="32" t="str">
        <f aca="false">IF(OR(E881="",F881=""),"",F881*IFERROR(INDEX(Товары!$C$4:$C$200,MATCH(E881,Товары!$B$4:$B$200,0)),0))</f>
        <v/>
      </c>
      <c r="M881" s="32" t="str">
        <f aca="false">IF(I881="","",I881-L881)</f>
        <v/>
      </c>
      <c r="N881" s="28"/>
      <c r="O881" s="28"/>
      <c r="P881" s="28"/>
      <c r="Q881" s="28"/>
      <c r="R881" s="35"/>
      <c r="S881" s="28"/>
    </row>
    <row r="882" customFormat="false" ht="15" hidden="false" customHeight="false" outlineLevel="0" collapsed="false">
      <c r="A882" s="34" t="str">
        <f aca="false">IF(E882="","",ROW()-3)</f>
        <v/>
      </c>
      <c r="B882" s="35"/>
      <c r="C882" s="28"/>
      <c r="D882" s="28"/>
      <c r="E882" s="28"/>
      <c r="F882" s="28"/>
      <c r="G882" s="32" t="str">
        <f aca="false">IF(E882="","",IFERROR(INDEX(Товары!$D$4:$D$200,MATCH(E882,Товары!$B$4:$B$200,0)),0))</f>
        <v/>
      </c>
      <c r="H882" s="29"/>
      <c r="I882" s="32" t="str">
        <f aca="false">IF(OR(E882="",F882=""),"",F882*G882-N(H882))</f>
        <v/>
      </c>
      <c r="J882" s="29"/>
      <c r="K882" s="32" t="str">
        <f aca="false">IF(AND(I882="",N(J882)=0),"",N(I882)+N(J882))</f>
        <v/>
      </c>
      <c r="L882" s="32" t="str">
        <f aca="false">IF(OR(E882="",F882=""),"",F882*IFERROR(INDEX(Товары!$C$4:$C$200,MATCH(E882,Товары!$B$4:$B$200,0)),0))</f>
        <v/>
      </c>
      <c r="M882" s="32" t="str">
        <f aca="false">IF(I882="","",I882-L882)</f>
        <v/>
      </c>
      <c r="N882" s="28"/>
      <c r="O882" s="28"/>
      <c r="P882" s="28"/>
      <c r="Q882" s="28"/>
      <c r="R882" s="35"/>
      <c r="S882" s="28"/>
    </row>
    <row r="883" customFormat="false" ht="15" hidden="false" customHeight="false" outlineLevel="0" collapsed="false">
      <c r="A883" s="34" t="str">
        <f aca="false">IF(E883="","",ROW()-3)</f>
        <v/>
      </c>
      <c r="B883" s="35"/>
      <c r="C883" s="28"/>
      <c r="D883" s="28"/>
      <c r="E883" s="28"/>
      <c r="F883" s="28"/>
      <c r="G883" s="32" t="str">
        <f aca="false">IF(E883="","",IFERROR(INDEX(Товары!$D$4:$D$200,MATCH(E883,Товары!$B$4:$B$200,0)),0))</f>
        <v/>
      </c>
      <c r="H883" s="29"/>
      <c r="I883" s="32" t="str">
        <f aca="false">IF(OR(E883="",F883=""),"",F883*G883-N(H883))</f>
        <v/>
      </c>
      <c r="J883" s="29"/>
      <c r="K883" s="32" t="str">
        <f aca="false">IF(AND(I883="",N(J883)=0),"",N(I883)+N(J883))</f>
        <v/>
      </c>
      <c r="L883" s="32" t="str">
        <f aca="false">IF(OR(E883="",F883=""),"",F883*IFERROR(INDEX(Товары!$C$4:$C$200,MATCH(E883,Товары!$B$4:$B$200,0)),0))</f>
        <v/>
      </c>
      <c r="M883" s="32" t="str">
        <f aca="false">IF(I883="","",I883-L883)</f>
        <v/>
      </c>
      <c r="N883" s="28"/>
      <c r="O883" s="28"/>
      <c r="P883" s="28"/>
      <c r="Q883" s="28"/>
      <c r="R883" s="35"/>
      <c r="S883" s="28"/>
    </row>
    <row r="884" customFormat="false" ht="15" hidden="false" customHeight="false" outlineLevel="0" collapsed="false">
      <c r="A884" s="34" t="str">
        <f aca="false">IF(E884="","",ROW()-3)</f>
        <v/>
      </c>
      <c r="B884" s="35"/>
      <c r="C884" s="28"/>
      <c r="D884" s="28"/>
      <c r="E884" s="28"/>
      <c r="F884" s="28"/>
      <c r="G884" s="32" t="str">
        <f aca="false">IF(E884="","",IFERROR(INDEX(Товары!$D$4:$D$200,MATCH(E884,Товары!$B$4:$B$200,0)),0))</f>
        <v/>
      </c>
      <c r="H884" s="29"/>
      <c r="I884" s="32" t="str">
        <f aca="false">IF(OR(E884="",F884=""),"",F884*G884-N(H884))</f>
        <v/>
      </c>
      <c r="J884" s="29"/>
      <c r="K884" s="32" t="str">
        <f aca="false">IF(AND(I884="",N(J884)=0),"",N(I884)+N(J884))</f>
        <v/>
      </c>
      <c r="L884" s="32" t="str">
        <f aca="false">IF(OR(E884="",F884=""),"",F884*IFERROR(INDEX(Товары!$C$4:$C$200,MATCH(E884,Товары!$B$4:$B$200,0)),0))</f>
        <v/>
      </c>
      <c r="M884" s="32" t="str">
        <f aca="false">IF(I884="","",I884-L884)</f>
        <v/>
      </c>
      <c r="N884" s="28"/>
      <c r="O884" s="28"/>
      <c r="P884" s="28"/>
      <c r="Q884" s="28"/>
      <c r="R884" s="35"/>
      <c r="S884" s="28"/>
    </row>
    <row r="885" customFormat="false" ht="15" hidden="false" customHeight="false" outlineLevel="0" collapsed="false">
      <c r="A885" s="34" t="str">
        <f aca="false">IF(E885="","",ROW()-3)</f>
        <v/>
      </c>
      <c r="B885" s="35"/>
      <c r="C885" s="28"/>
      <c r="D885" s="28"/>
      <c r="E885" s="28"/>
      <c r="F885" s="28"/>
      <c r="G885" s="32" t="str">
        <f aca="false">IF(E885="","",IFERROR(INDEX(Товары!$D$4:$D$200,MATCH(E885,Товары!$B$4:$B$200,0)),0))</f>
        <v/>
      </c>
      <c r="H885" s="29"/>
      <c r="I885" s="32" t="str">
        <f aca="false">IF(OR(E885="",F885=""),"",F885*G885-N(H885))</f>
        <v/>
      </c>
      <c r="J885" s="29"/>
      <c r="K885" s="32" t="str">
        <f aca="false">IF(AND(I885="",N(J885)=0),"",N(I885)+N(J885))</f>
        <v/>
      </c>
      <c r="L885" s="32" t="str">
        <f aca="false">IF(OR(E885="",F885=""),"",F885*IFERROR(INDEX(Товары!$C$4:$C$200,MATCH(E885,Товары!$B$4:$B$200,0)),0))</f>
        <v/>
      </c>
      <c r="M885" s="32" t="str">
        <f aca="false">IF(I885="","",I885-L885)</f>
        <v/>
      </c>
      <c r="N885" s="28"/>
      <c r="O885" s="28"/>
      <c r="P885" s="28"/>
      <c r="Q885" s="28"/>
      <c r="R885" s="35"/>
      <c r="S885" s="28"/>
    </row>
    <row r="886" customFormat="false" ht="15" hidden="false" customHeight="false" outlineLevel="0" collapsed="false">
      <c r="A886" s="34" t="str">
        <f aca="false">IF(E886="","",ROW()-3)</f>
        <v/>
      </c>
      <c r="B886" s="35"/>
      <c r="C886" s="28"/>
      <c r="D886" s="28"/>
      <c r="E886" s="28"/>
      <c r="F886" s="28"/>
      <c r="G886" s="32" t="str">
        <f aca="false">IF(E886="","",IFERROR(INDEX(Товары!$D$4:$D$200,MATCH(E886,Товары!$B$4:$B$200,0)),0))</f>
        <v/>
      </c>
      <c r="H886" s="29"/>
      <c r="I886" s="32" t="str">
        <f aca="false">IF(OR(E886="",F886=""),"",F886*G886-N(H886))</f>
        <v/>
      </c>
      <c r="J886" s="29"/>
      <c r="K886" s="32" t="str">
        <f aca="false">IF(AND(I886="",N(J886)=0),"",N(I886)+N(J886))</f>
        <v/>
      </c>
      <c r="L886" s="32" t="str">
        <f aca="false">IF(OR(E886="",F886=""),"",F886*IFERROR(INDEX(Товары!$C$4:$C$200,MATCH(E886,Товары!$B$4:$B$200,0)),0))</f>
        <v/>
      </c>
      <c r="M886" s="32" t="str">
        <f aca="false">IF(I886="","",I886-L886)</f>
        <v/>
      </c>
      <c r="N886" s="28"/>
      <c r="O886" s="28"/>
      <c r="P886" s="28"/>
      <c r="Q886" s="28"/>
      <c r="R886" s="35"/>
      <c r="S886" s="28"/>
    </row>
    <row r="887" customFormat="false" ht="15" hidden="false" customHeight="false" outlineLevel="0" collapsed="false">
      <c r="A887" s="34" t="str">
        <f aca="false">IF(E887="","",ROW()-3)</f>
        <v/>
      </c>
      <c r="B887" s="35"/>
      <c r="C887" s="28"/>
      <c r="D887" s="28"/>
      <c r="E887" s="28"/>
      <c r="F887" s="28"/>
      <c r="G887" s="32" t="str">
        <f aca="false">IF(E887="","",IFERROR(INDEX(Товары!$D$4:$D$200,MATCH(E887,Товары!$B$4:$B$200,0)),0))</f>
        <v/>
      </c>
      <c r="H887" s="29"/>
      <c r="I887" s="32" t="str">
        <f aca="false">IF(OR(E887="",F887=""),"",F887*G887-N(H887))</f>
        <v/>
      </c>
      <c r="J887" s="29"/>
      <c r="K887" s="32" t="str">
        <f aca="false">IF(AND(I887="",N(J887)=0),"",N(I887)+N(J887))</f>
        <v/>
      </c>
      <c r="L887" s="32" t="str">
        <f aca="false">IF(OR(E887="",F887=""),"",F887*IFERROR(INDEX(Товары!$C$4:$C$200,MATCH(E887,Товары!$B$4:$B$200,0)),0))</f>
        <v/>
      </c>
      <c r="M887" s="32" t="str">
        <f aca="false">IF(I887="","",I887-L887)</f>
        <v/>
      </c>
      <c r="N887" s="28"/>
      <c r="O887" s="28"/>
      <c r="P887" s="28"/>
      <c r="Q887" s="28"/>
      <c r="R887" s="35"/>
      <c r="S887" s="28"/>
    </row>
    <row r="888" customFormat="false" ht="15" hidden="false" customHeight="false" outlineLevel="0" collapsed="false">
      <c r="A888" s="34" t="str">
        <f aca="false">IF(E888="","",ROW()-3)</f>
        <v/>
      </c>
      <c r="B888" s="35"/>
      <c r="C888" s="28"/>
      <c r="D888" s="28"/>
      <c r="E888" s="28"/>
      <c r="F888" s="28"/>
      <c r="G888" s="32" t="str">
        <f aca="false">IF(E888="","",IFERROR(INDEX(Товары!$D$4:$D$200,MATCH(E888,Товары!$B$4:$B$200,0)),0))</f>
        <v/>
      </c>
      <c r="H888" s="29"/>
      <c r="I888" s="32" t="str">
        <f aca="false">IF(OR(E888="",F888=""),"",F888*G888-N(H888))</f>
        <v/>
      </c>
      <c r="J888" s="29"/>
      <c r="K888" s="32" t="str">
        <f aca="false">IF(AND(I888="",N(J888)=0),"",N(I888)+N(J888))</f>
        <v/>
      </c>
      <c r="L888" s="32" t="str">
        <f aca="false">IF(OR(E888="",F888=""),"",F888*IFERROR(INDEX(Товары!$C$4:$C$200,MATCH(E888,Товары!$B$4:$B$200,0)),0))</f>
        <v/>
      </c>
      <c r="M888" s="32" t="str">
        <f aca="false">IF(I888="","",I888-L888)</f>
        <v/>
      </c>
      <c r="N888" s="28"/>
      <c r="O888" s="28"/>
      <c r="P888" s="28"/>
      <c r="Q888" s="28"/>
      <c r="R888" s="35"/>
      <c r="S888" s="28"/>
    </row>
    <row r="889" customFormat="false" ht="15" hidden="false" customHeight="false" outlineLevel="0" collapsed="false">
      <c r="A889" s="34" t="str">
        <f aca="false">IF(E889="","",ROW()-3)</f>
        <v/>
      </c>
      <c r="B889" s="35"/>
      <c r="C889" s="28"/>
      <c r="D889" s="28"/>
      <c r="E889" s="28"/>
      <c r="F889" s="28"/>
      <c r="G889" s="32" t="str">
        <f aca="false">IF(E889="","",IFERROR(INDEX(Товары!$D$4:$D$200,MATCH(E889,Товары!$B$4:$B$200,0)),0))</f>
        <v/>
      </c>
      <c r="H889" s="29"/>
      <c r="I889" s="32" t="str">
        <f aca="false">IF(OR(E889="",F889=""),"",F889*G889-N(H889))</f>
        <v/>
      </c>
      <c r="J889" s="29"/>
      <c r="K889" s="32" t="str">
        <f aca="false">IF(AND(I889="",N(J889)=0),"",N(I889)+N(J889))</f>
        <v/>
      </c>
      <c r="L889" s="32" t="str">
        <f aca="false">IF(OR(E889="",F889=""),"",F889*IFERROR(INDEX(Товары!$C$4:$C$200,MATCH(E889,Товары!$B$4:$B$200,0)),0))</f>
        <v/>
      </c>
      <c r="M889" s="32" t="str">
        <f aca="false">IF(I889="","",I889-L889)</f>
        <v/>
      </c>
      <c r="N889" s="28"/>
      <c r="O889" s="28"/>
      <c r="P889" s="28"/>
      <c r="Q889" s="28"/>
      <c r="R889" s="35"/>
      <c r="S889" s="28"/>
    </row>
    <row r="890" customFormat="false" ht="15" hidden="false" customHeight="false" outlineLevel="0" collapsed="false">
      <c r="A890" s="34" t="str">
        <f aca="false">IF(E890="","",ROW()-3)</f>
        <v/>
      </c>
      <c r="B890" s="35"/>
      <c r="C890" s="28"/>
      <c r="D890" s="28"/>
      <c r="E890" s="28"/>
      <c r="F890" s="28"/>
      <c r="G890" s="32" t="str">
        <f aca="false">IF(E890="","",IFERROR(INDEX(Товары!$D$4:$D$200,MATCH(E890,Товары!$B$4:$B$200,0)),0))</f>
        <v/>
      </c>
      <c r="H890" s="29"/>
      <c r="I890" s="32" t="str">
        <f aca="false">IF(OR(E890="",F890=""),"",F890*G890-N(H890))</f>
        <v/>
      </c>
      <c r="J890" s="29"/>
      <c r="K890" s="32" t="str">
        <f aca="false">IF(AND(I890="",N(J890)=0),"",N(I890)+N(J890))</f>
        <v/>
      </c>
      <c r="L890" s="32" t="str">
        <f aca="false">IF(OR(E890="",F890=""),"",F890*IFERROR(INDEX(Товары!$C$4:$C$200,MATCH(E890,Товары!$B$4:$B$200,0)),0))</f>
        <v/>
      </c>
      <c r="M890" s="32" t="str">
        <f aca="false">IF(I890="","",I890-L890)</f>
        <v/>
      </c>
      <c r="N890" s="28"/>
      <c r="O890" s="28"/>
      <c r="P890" s="28"/>
      <c r="Q890" s="28"/>
      <c r="R890" s="35"/>
      <c r="S890" s="28"/>
    </row>
    <row r="891" customFormat="false" ht="15" hidden="false" customHeight="false" outlineLevel="0" collapsed="false">
      <c r="A891" s="34" t="str">
        <f aca="false">IF(E891="","",ROW()-3)</f>
        <v/>
      </c>
      <c r="B891" s="35"/>
      <c r="C891" s="28"/>
      <c r="D891" s="28"/>
      <c r="E891" s="28"/>
      <c r="F891" s="28"/>
      <c r="G891" s="32" t="str">
        <f aca="false">IF(E891="","",IFERROR(INDEX(Товары!$D$4:$D$200,MATCH(E891,Товары!$B$4:$B$200,0)),0))</f>
        <v/>
      </c>
      <c r="H891" s="29"/>
      <c r="I891" s="32" t="str">
        <f aca="false">IF(OR(E891="",F891=""),"",F891*G891-N(H891))</f>
        <v/>
      </c>
      <c r="J891" s="29"/>
      <c r="K891" s="32" t="str">
        <f aca="false">IF(AND(I891="",N(J891)=0),"",N(I891)+N(J891))</f>
        <v/>
      </c>
      <c r="L891" s="32" t="str">
        <f aca="false">IF(OR(E891="",F891=""),"",F891*IFERROR(INDEX(Товары!$C$4:$C$200,MATCH(E891,Товары!$B$4:$B$200,0)),0))</f>
        <v/>
      </c>
      <c r="M891" s="32" t="str">
        <f aca="false">IF(I891="","",I891-L891)</f>
        <v/>
      </c>
      <c r="N891" s="28"/>
      <c r="O891" s="28"/>
      <c r="P891" s="28"/>
      <c r="Q891" s="28"/>
      <c r="R891" s="35"/>
      <c r="S891" s="28"/>
    </row>
    <row r="892" customFormat="false" ht="15" hidden="false" customHeight="false" outlineLevel="0" collapsed="false">
      <c r="A892" s="34" t="str">
        <f aca="false">IF(E892="","",ROW()-3)</f>
        <v/>
      </c>
      <c r="B892" s="35"/>
      <c r="C892" s="28"/>
      <c r="D892" s="28"/>
      <c r="E892" s="28"/>
      <c r="F892" s="28"/>
      <c r="G892" s="32" t="str">
        <f aca="false">IF(E892="","",IFERROR(INDEX(Товары!$D$4:$D$200,MATCH(E892,Товары!$B$4:$B$200,0)),0))</f>
        <v/>
      </c>
      <c r="H892" s="29"/>
      <c r="I892" s="32" t="str">
        <f aca="false">IF(OR(E892="",F892=""),"",F892*G892-N(H892))</f>
        <v/>
      </c>
      <c r="J892" s="29"/>
      <c r="K892" s="32" t="str">
        <f aca="false">IF(AND(I892="",N(J892)=0),"",N(I892)+N(J892))</f>
        <v/>
      </c>
      <c r="L892" s="32" t="str">
        <f aca="false">IF(OR(E892="",F892=""),"",F892*IFERROR(INDEX(Товары!$C$4:$C$200,MATCH(E892,Товары!$B$4:$B$200,0)),0))</f>
        <v/>
      </c>
      <c r="M892" s="32" t="str">
        <f aca="false">IF(I892="","",I892-L892)</f>
        <v/>
      </c>
      <c r="N892" s="28"/>
      <c r="O892" s="28"/>
      <c r="P892" s="28"/>
      <c r="Q892" s="28"/>
      <c r="R892" s="35"/>
      <c r="S892" s="28"/>
    </row>
    <row r="893" customFormat="false" ht="15" hidden="false" customHeight="false" outlineLevel="0" collapsed="false">
      <c r="A893" s="34" t="str">
        <f aca="false">IF(E893="","",ROW()-3)</f>
        <v/>
      </c>
      <c r="B893" s="35"/>
      <c r="C893" s="28"/>
      <c r="D893" s="28"/>
      <c r="E893" s="28"/>
      <c r="F893" s="28"/>
      <c r="G893" s="32" t="str">
        <f aca="false">IF(E893="","",IFERROR(INDEX(Товары!$D$4:$D$200,MATCH(E893,Товары!$B$4:$B$200,0)),0))</f>
        <v/>
      </c>
      <c r="H893" s="29"/>
      <c r="I893" s="32" t="str">
        <f aca="false">IF(OR(E893="",F893=""),"",F893*G893-N(H893))</f>
        <v/>
      </c>
      <c r="J893" s="29"/>
      <c r="K893" s="32" t="str">
        <f aca="false">IF(AND(I893="",N(J893)=0),"",N(I893)+N(J893))</f>
        <v/>
      </c>
      <c r="L893" s="32" t="str">
        <f aca="false">IF(OR(E893="",F893=""),"",F893*IFERROR(INDEX(Товары!$C$4:$C$200,MATCH(E893,Товары!$B$4:$B$200,0)),0))</f>
        <v/>
      </c>
      <c r="M893" s="32" t="str">
        <f aca="false">IF(I893="","",I893-L893)</f>
        <v/>
      </c>
      <c r="N893" s="28"/>
      <c r="O893" s="28"/>
      <c r="P893" s="28"/>
      <c r="Q893" s="28"/>
      <c r="R893" s="35"/>
      <c r="S893" s="28"/>
    </row>
    <row r="894" customFormat="false" ht="15" hidden="false" customHeight="false" outlineLevel="0" collapsed="false">
      <c r="A894" s="34" t="str">
        <f aca="false">IF(E894="","",ROW()-3)</f>
        <v/>
      </c>
      <c r="B894" s="35"/>
      <c r="C894" s="28"/>
      <c r="D894" s="28"/>
      <c r="E894" s="28"/>
      <c r="F894" s="28"/>
      <c r="G894" s="32" t="str">
        <f aca="false">IF(E894="","",IFERROR(INDEX(Товары!$D$4:$D$200,MATCH(E894,Товары!$B$4:$B$200,0)),0))</f>
        <v/>
      </c>
      <c r="H894" s="29"/>
      <c r="I894" s="32" t="str">
        <f aca="false">IF(OR(E894="",F894=""),"",F894*G894-N(H894))</f>
        <v/>
      </c>
      <c r="J894" s="29"/>
      <c r="K894" s="32" t="str">
        <f aca="false">IF(AND(I894="",N(J894)=0),"",N(I894)+N(J894))</f>
        <v/>
      </c>
      <c r="L894" s="32" t="str">
        <f aca="false">IF(OR(E894="",F894=""),"",F894*IFERROR(INDEX(Товары!$C$4:$C$200,MATCH(E894,Товары!$B$4:$B$200,0)),0))</f>
        <v/>
      </c>
      <c r="M894" s="32" t="str">
        <f aca="false">IF(I894="","",I894-L894)</f>
        <v/>
      </c>
      <c r="N894" s="28"/>
      <c r="O894" s="28"/>
      <c r="P894" s="28"/>
      <c r="Q894" s="28"/>
      <c r="R894" s="35"/>
      <c r="S894" s="28"/>
    </row>
    <row r="895" customFormat="false" ht="15" hidden="false" customHeight="false" outlineLevel="0" collapsed="false">
      <c r="A895" s="34" t="str">
        <f aca="false">IF(E895="","",ROW()-3)</f>
        <v/>
      </c>
      <c r="B895" s="35"/>
      <c r="C895" s="28"/>
      <c r="D895" s="28"/>
      <c r="E895" s="28"/>
      <c r="F895" s="28"/>
      <c r="G895" s="32" t="str">
        <f aca="false">IF(E895="","",IFERROR(INDEX(Товары!$D$4:$D$200,MATCH(E895,Товары!$B$4:$B$200,0)),0))</f>
        <v/>
      </c>
      <c r="H895" s="29"/>
      <c r="I895" s="32" t="str">
        <f aca="false">IF(OR(E895="",F895=""),"",F895*G895-N(H895))</f>
        <v/>
      </c>
      <c r="J895" s="29"/>
      <c r="K895" s="32" t="str">
        <f aca="false">IF(AND(I895="",N(J895)=0),"",N(I895)+N(J895))</f>
        <v/>
      </c>
      <c r="L895" s="32" t="str">
        <f aca="false">IF(OR(E895="",F895=""),"",F895*IFERROR(INDEX(Товары!$C$4:$C$200,MATCH(E895,Товары!$B$4:$B$200,0)),0))</f>
        <v/>
      </c>
      <c r="M895" s="32" t="str">
        <f aca="false">IF(I895="","",I895-L895)</f>
        <v/>
      </c>
      <c r="N895" s="28"/>
      <c r="O895" s="28"/>
      <c r="P895" s="28"/>
      <c r="Q895" s="28"/>
      <c r="R895" s="35"/>
      <c r="S895" s="28"/>
    </row>
    <row r="896" customFormat="false" ht="15" hidden="false" customHeight="false" outlineLevel="0" collapsed="false">
      <c r="A896" s="34" t="str">
        <f aca="false">IF(E896="","",ROW()-3)</f>
        <v/>
      </c>
      <c r="B896" s="35"/>
      <c r="C896" s="28"/>
      <c r="D896" s="28"/>
      <c r="E896" s="28"/>
      <c r="F896" s="28"/>
      <c r="G896" s="32" t="str">
        <f aca="false">IF(E896="","",IFERROR(INDEX(Товары!$D$4:$D$200,MATCH(E896,Товары!$B$4:$B$200,0)),0))</f>
        <v/>
      </c>
      <c r="H896" s="29"/>
      <c r="I896" s="32" t="str">
        <f aca="false">IF(OR(E896="",F896=""),"",F896*G896-N(H896))</f>
        <v/>
      </c>
      <c r="J896" s="29"/>
      <c r="K896" s="32" t="str">
        <f aca="false">IF(AND(I896="",N(J896)=0),"",N(I896)+N(J896))</f>
        <v/>
      </c>
      <c r="L896" s="32" t="str">
        <f aca="false">IF(OR(E896="",F896=""),"",F896*IFERROR(INDEX(Товары!$C$4:$C$200,MATCH(E896,Товары!$B$4:$B$200,0)),0))</f>
        <v/>
      </c>
      <c r="M896" s="32" t="str">
        <f aca="false">IF(I896="","",I896-L896)</f>
        <v/>
      </c>
      <c r="N896" s="28"/>
      <c r="O896" s="28"/>
      <c r="P896" s="28"/>
      <c r="Q896" s="28"/>
      <c r="R896" s="35"/>
      <c r="S896" s="28"/>
    </row>
    <row r="897" customFormat="false" ht="15" hidden="false" customHeight="false" outlineLevel="0" collapsed="false">
      <c r="A897" s="34" t="str">
        <f aca="false">IF(E897="","",ROW()-3)</f>
        <v/>
      </c>
      <c r="B897" s="35"/>
      <c r="C897" s="28"/>
      <c r="D897" s="28"/>
      <c r="E897" s="28"/>
      <c r="F897" s="28"/>
      <c r="G897" s="32" t="str">
        <f aca="false">IF(E897="","",IFERROR(INDEX(Товары!$D$4:$D$200,MATCH(E897,Товары!$B$4:$B$200,0)),0))</f>
        <v/>
      </c>
      <c r="H897" s="29"/>
      <c r="I897" s="32" t="str">
        <f aca="false">IF(OR(E897="",F897=""),"",F897*G897-N(H897))</f>
        <v/>
      </c>
      <c r="J897" s="29"/>
      <c r="K897" s="32" t="str">
        <f aca="false">IF(AND(I897="",N(J897)=0),"",N(I897)+N(J897))</f>
        <v/>
      </c>
      <c r="L897" s="32" t="str">
        <f aca="false">IF(OR(E897="",F897=""),"",F897*IFERROR(INDEX(Товары!$C$4:$C$200,MATCH(E897,Товары!$B$4:$B$200,0)),0))</f>
        <v/>
      </c>
      <c r="M897" s="32" t="str">
        <f aca="false">IF(I897="","",I897-L897)</f>
        <v/>
      </c>
      <c r="N897" s="28"/>
      <c r="O897" s="28"/>
      <c r="P897" s="28"/>
      <c r="Q897" s="28"/>
      <c r="R897" s="35"/>
      <c r="S897" s="28"/>
    </row>
    <row r="898" customFormat="false" ht="15" hidden="false" customHeight="false" outlineLevel="0" collapsed="false">
      <c r="A898" s="34" t="str">
        <f aca="false">IF(E898="","",ROW()-3)</f>
        <v/>
      </c>
      <c r="B898" s="35"/>
      <c r="C898" s="28"/>
      <c r="D898" s="28"/>
      <c r="E898" s="28"/>
      <c r="F898" s="28"/>
      <c r="G898" s="32" t="str">
        <f aca="false">IF(E898="","",IFERROR(INDEX(Товары!$D$4:$D$200,MATCH(E898,Товары!$B$4:$B$200,0)),0))</f>
        <v/>
      </c>
      <c r="H898" s="29"/>
      <c r="I898" s="32" t="str">
        <f aca="false">IF(OR(E898="",F898=""),"",F898*G898-N(H898))</f>
        <v/>
      </c>
      <c r="J898" s="29"/>
      <c r="K898" s="32" t="str">
        <f aca="false">IF(AND(I898="",N(J898)=0),"",N(I898)+N(J898))</f>
        <v/>
      </c>
      <c r="L898" s="32" t="str">
        <f aca="false">IF(OR(E898="",F898=""),"",F898*IFERROR(INDEX(Товары!$C$4:$C$200,MATCH(E898,Товары!$B$4:$B$200,0)),0))</f>
        <v/>
      </c>
      <c r="M898" s="32" t="str">
        <f aca="false">IF(I898="","",I898-L898)</f>
        <v/>
      </c>
      <c r="N898" s="28"/>
      <c r="O898" s="28"/>
      <c r="P898" s="28"/>
      <c r="Q898" s="28"/>
      <c r="R898" s="35"/>
      <c r="S898" s="28"/>
    </row>
    <row r="899" customFormat="false" ht="15" hidden="false" customHeight="false" outlineLevel="0" collapsed="false">
      <c r="A899" s="34" t="str">
        <f aca="false">IF(E899="","",ROW()-3)</f>
        <v/>
      </c>
      <c r="B899" s="35"/>
      <c r="C899" s="28"/>
      <c r="D899" s="28"/>
      <c r="E899" s="28"/>
      <c r="F899" s="28"/>
      <c r="G899" s="32" t="str">
        <f aca="false">IF(E899="","",IFERROR(INDEX(Товары!$D$4:$D$200,MATCH(E899,Товары!$B$4:$B$200,0)),0))</f>
        <v/>
      </c>
      <c r="H899" s="29"/>
      <c r="I899" s="32" t="str">
        <f aca="false">IF(OR(E899="",F899=""),"",F899*G899-N(H899))</f>
        <v/>
      </c>
      <c r="J899" s="29"/>
      <c r="K899" s="32" t="str">
        <f aca="false">IF(AND(I899="",N(J899)=0),"",N(I899)+N(J899))</f>
        <v/>
      </c>
      <c r="L899" s="32" t="str">
        <f aca="false">IF(OR(E899="",F899=""),"",F899*IFERROR(INDEX(Товары!$C$4:$C$200,MATCH(E899,Товары!$B$4:$B$200,0)),0))</f>
        <v/>
      </c>
      <c r="M899" s="32" t="str">
        <f aca="false">IF(I899="","",I899-L899)</f>
        <v/>
      </c>
      <c r="N899" s="28"/>
      <c r="O899" s="28"/>
      <c r="P899" s="28"/>
      <c r="Q899" s="28"/>
      <c r="R899" s="35"/>
      <c r="S899" s="28"/>
    </row>
    <row r="900" customFormat="false" ht="15" hidden="false" customHeight="false" outlineLevel="0" collapsed="false">
      <c r="A900" s="34" t="str">
        <f aca="false">IF(E900="","",ROW()-3)</f>
        <v/>
      </c>
      <c r="B900" s="35"/>
      <c r="C900" s="28"/>
      <c r="D900" s="28"/>
      <c r="E900" s="28"/>
      <c r="F900" s="28"/>
      <c r="G900" s="32" t="str">
        <f aca="false">IF(E900="","",IFERROR(INDEX(Товары!$D$4:$D$200,MATCH(E900,Товары!$B$4:$B$200,0)),0))</f>
        <v/>
      </c>
      <c r="H900" s="29"/>
      <c r="I900" s="32" t="str">
        <f aca="false">IF(OR(E900="",F900=""),"",F900*G900-N(H900))</f>
        <v/>
      </c>
      <c r="J900" s="29"/>
      <c r="K900" s="32" t="str">
        <f aca="false">IF(AND(I900="",N(J900)=0),"",N(I900)+N(J900))</f>
        <v/>
      </c>
      <c r="L900" s="32" t="str">
        <f aca="false">IF(OR(E900="",F900=""),"",F900*IFERROR(INDEX(Товары!$C$4:$C$200,MATCH(E900,Товары!$B$4:$B$200,0)),0))</f>
        <v/>
      </c>
      <c r="M900" s="32" t="str">
        <f aca="false">IF(I900="","",I900-L900)</f>
        <v/>
      </c>
      <c r="N900" s="28"/>
      <c r="O900" s="28"/>
      <c r="P900" s="28"/>
      <c r="Q900" s="28"/>
      <c r="R900" s="35"/>
      <c r="S900" s="28"/>
    </row>
    <row r="901" customFormat="false" ht="15" hidden="false" customHeight="false" outlineLevel="0" collapsed="false">
      <c r="A901" s="34" t="str">
        <f aca="false">IF(E901="","",ROW()-3)</f>
        <v/>
      </c>
      <c r="B901" s="35"/>
      <c r="C901" s="28"/>
      <c r="D901" s="28"/>
      <c r="E901" s="28"/>
      <c r="F901" s="28"/>
      <c r="G901" s="32" t="str">
        <f aca="false">IF(E901="","",IFERROR(INDEX(Товары!$D$4:$D$200,MATCH(E901,Товары!$B$4:$B$200,0)),0))</f>
        <v/>
      </c>
      <c r="H901" s="29"/>
      <c r="I901" s="32" t="str">
        <f aca="false">IF(OR(E901="",F901=""),"",F901*G901-N(H901))</f>
        <v/>
      </c>
      <c r="J901" s="29"/>
      <c r="K901" s="32" t="str">
        <f aca="false">IF(AND(I901="",N(J901)=0),"",N(I901)+N(J901))</f>
        <v/>
      </c>
      <c r="L901" s="32" t="str">
        <f aca="false">IF(OR(E901="",F901=""),"",F901*IFERROR(INDEX(Товары!$C$4:$C$200,MATCH(E901,Товары!$B$4:$B$200,0)),0))</f>
        <v/>
      </c>
      <c r="M901" s="32" t="str">
        <f aca="false">IF(I901="","",I901-L901)</f>
        <v/>
      </c>
      <c r="N901" s="28"/>
      <c r="O901" s="28"/>
      <c r="P901" s="28"/>
      <c r="Q901" s="28"/>
      <c r="R901" s="35"/>
      <c r="S901" s="28"/>
    </row>
    <row r="902" customFormat="false" ht="15" hidden="false" customHeight="false" outlineLevel="0" collapsed="false">
      <c r="A902" s="34" t="str">
        <f aca="false">IF(E902="","",ROW()-3)</f>
        <v/>
      </c>
      <c r="B902" s="35"/>
      <c r="C902" s="28"/>
      <c r="D902" s="28"/>
      <c r="E902" s="28"/>
      <c r="F902" s="28"/>
      <c r="G902" s="32" t="str">
        <f aca="false">IF(E902="","",IFERROR(INDEX(Товары!$D$4:$D$200,MATCH(E902,Товары!$B$4:$B$200,0)),0))</f>
        <v/>
      </c>
      <c r="H902" s="29"/>
      <c r="I902" s="32" t="str">
        <f aca="false">IF(OR(E902="",F902=""),"",F902*G902-N(H902))</f>
        <v/>
      </c>
      <c r="J902" s="29"/>
      <c r="K902" s="32" t="str">
        <f aca="false">IF(AND(I902="",N(J902)=0),"",N(I902)+N(J902))</f>
        <v/>
      </c>
      <c r="L902" s="32" t="str">
        <f aca="false">IF(OR(E902="",F902=""),"",F902*IFERROR(INDEX(Товары!$C$4:$C$200,MATCH(E902,Товары!$B$4:$B$200,0)),0))</f>
        <v/>
      </c>
      <c r="M902" s="32" t="str">
        <f aca="false">IF(I902="","",I902-L902)</f>
        <v/>
      </c>
      <c r="N902" s="28"/>
      <c r="O902" s="28"/>
      <c r="P902" s="28"/>
      <c r="Q902" s="28"/>
      <c r="R902" s="35"/>
      <c r="S902" s="28"/>
    </row>
    <row r="903" customFormat="false" ht="15" hidden="false" customHeight="false" outlineLevel="0" collapsed="false">
      <c r="A903" s="34" t="str">
        <f aca="false">IF(E903="","",ROW()-3)</f>
        <v/>
      </c>
      <c r="B903" s="35"/>
      <c r="C903" s="28"/>
      <c r="D903" s="28"/>
      <c r="E903" s="28"/>
      <c r="F903" s="28"/>
      <c r="G903" s="32" t="str">
        <f aca="false">IF(E903="","",IFERROR(INDEX(Товары!$D$4:$D$200,MATCH(E903,Товары!$B$4:$B$200,0)),0))</f>
        <v/>
      </c>
      <c r="H903" s="29"/>
      <c r="I903" s="32" t="str">
        <f aca="false">IF(OR(E903="",F903=""),"",F903*G903-N(H903))</f>
        <v/>
      </c>
      <c r="J903" s="29"/>
      <c r="K903" s="32" t="str">
        <f aca="false">IF(AND(I903="",N(J903)=0),"",N(I903)+N(J903))</f>
        <v/>
      </c>
      <c r="L903" s="32" t="str">
        <f aca="false">IF(OR(E903="",F903=""),"",F903*IFERROR(INDEX(Товары!$C$4:$C$200,MATCH(E903,Товары!$B$4:$B$200,0)),0))</f>
        <v/>
      </c>
      <c r="M903" s="32" t="str">
        <f aca="false">IF(I903="","",I903-L903)</f>
        <v/>
      </c>
      <c r="N903" s="28"/>
      <c r="O903" s="28"/>
      <c r="P903" s="28"/>
      <c r="Q903" s="28"/>
      <c r="R903" s="35"/>
      <c r="S903" s="28"/>
    </row>
    <row r="904" customFormat="false" ht="15" hidden="false" customHeight="false" outlineLevel="0" collapsed="false">
      <c r="A904" s="34" t="str">
        <f aca="false">IF(E904="","",ROW()-3)</f>
        <v/>
      </c>
      <c r="B904" s="35"/>
      <c r="C904" s="28"/>
      <c r="D904" s="28"/>
      <c r="E904" s="28"/>
      <c r="F904" s="28"/>
      <c r="G904" s="32" t="str">
        <f aca="false">IF(E904="","",IFERROR(INDEX(Товары!$D$4:$D$200,MATCH(E904,Товары!$B$4:$B$200,0)),0))</f>
        <v/>
      </c>
      <c r="H904" s="29"/>
      <c r="I904" s="32" t="str">
        <f aca="false">IF(OR(E904="",F904=""),"",F904*G904-N(H904))</f>
        <v/>
      </c>
      <c r="J904" s="29"/>
      <c r="K904" s="32" t="str">
        <f aca="false">IF(AND(I904="",N(J904)=0),"",N(I904)+N(J904))</f>
        <v/>
      </c>
      <c r="L904" s="32" t="str">
        <f aca="false">IF(OR(E904="",F904=""),"",F904*IFERROR(INDEX(Товары!$C$4:$C$200,MATCH(E904,Товары!$B$4:$B$200,0)),0))</f>
        <v/>
      </c>
      <c r="M904" s="32" t="str">
        <f aca="false">IF(I904="","",I904-L904)</f>
        <v/>
      </c>
      <c r="N904" s="28"/>
      <c r="O904" s="28"/>
      <c r="P904" s="28"/>
      <c r="Q904" s="28"/>
      <c r="R904" s="35"/>
      <c r="S904" s="28"/>
    </row>
    <row r="905" customFormat="false" ht="15" hidden="false" customHeight="false" outlineLevel="0" collapsed="false">
      <c r="A905" s="34" t="str">
        <f aca="false">IF(E905="","",ROW()-3)</f>
        <v/>
      </c>
      <c r="B905" s="35"/>
      <c r="C905" s="28"/>
      <c r="D905" s="28"/>
      <c r="E905" s="28"/>
      <c r="F905" s="28"/>
      <c r="G905" s="32" t="str">
        <f aca="false">IF(E905="","",IFERROR(INDEX(Товары!$D$4:$D$200,MATCH(E905,Товары!$B$4:$B$200,0)),0))</f>
        <v/>
      </c>
      <c r="H905" s="29"/>
      <c r="I905" s="32" t="str">
        <f aca="false">IF(OR(E905="",F905=""),"",F905*G905-N(H905))</f>
        <v/>
      </c>
      <c r="J905" s="29"/>
      <c r="K905" s="32" t="str">
        <f aca="false">IF(AND(I905="",N(J905)=0),"",N(I905)+N(J905))</f>
        <v/>
      </c>
      <c r="L905" s="32" t="str">
        <f aca="false">IF(OR(E905="",F905=""),"",F905*IFERROR(INDEX(Товары!$C$4:$C$200,MATCH(E905,Товары!$B$4:$B$200,0)),0))</f>
        <v/>
      </c>
      <c r="M905" s="32" t="str">
        <f aca="false">IF(I905="","",I905-L905)</f>
        <v/>
      </c>
      <c r="N905" s="28"/>
      <c r="O905" s="28"/>
      <c r="P905" s="28"/>
      <c r="Q905" s="28"/>
      <c r="R905" s="35"/>
      <c r="S905" s="28"/>
    </row>
    <row r="906" customFormat="false" ht="15" hidden="false" customHeight="false" outlineLevel="0" collapsed="false">
      <c r="A906" s="34" t="str">
        <f aca="false">IF(E906="","",ROW()-3)</f>
        <v/>
      </c>
      <c r="B906" s="35"/>
      <c r="C906" s="28"/>
      <c r="D906" s="28"/>
      <c r="E906" s="28"/>
      <c r="F906" s="28"/>
      <c r="G906" s="32" t="str">
        <f aca="false">IF(E906="","",IFERROR(INDEX(Товары!$D$4:$D$200,MATCH(E906,Товары!$B$4:$B$200,0)),0))</f>
        <v/>
      </c>
      <c r="H906" s="29"/>
      <c r="I906" s="32" t="str">
        <f aca="false">IF(OR(E906="",F906=""),"",F906*G906-N(H906))</f>
        <v/>
      </c>
      <c r="J906" s="29"/>
      <c r="K906" s="32" t="str">
        <f aca="false">IF(AND(I906="",N(J906)=0),"",N(I906)+N(J906))</f>
        <v/>
      </c>
      <c r="L906" s="32" t="str">
        <f aca="false">IF(OR(E906="",F906=""),"",F906*IFERROR(INDEX(Товары!$C$4:$C$200,MATCH(E906,Товары!$B$4:$B$200,0)),0))</f>
        <v/>
      </c>
      <c r="M906" s="32" t="str">
        <f aca="false">IF(I906="","",I906-L906)</f>
        <v/>
      </c>
      <c r="N906" s="28"/>
      <c r="O906" s="28"/>
      <c r="P906" s="28"/>
      <c r="Q906" s="28"/>
      <c r="R906" s="35"/>
      <c r="S906" s="28"/>
    </row>
    <row r="907" customFormat="false" ht="15" hidden="false" customHeight="false" outlineLevel="0" collapsed="false">
      <c r="A907" s="34" t="str">
        <f aca="false">IF(E907="","",ROW()-3)</f>
        <v/>
      </c>
      <c r="B907" s="35"/>
      <c r="C907" s="28"/>
      <c r="D907" s="28"/>
      <c r="E907" s="28"/>
      <c r="F907" s="28"/>
      <c r="G907" s="32" t="str">
        <f aca="false">IF(E907="","",IFERROR(INDEX(Товары!$D$4:$D$200,MATCH(E907,Товары!$B$4:$B$200,0)),0))</f>
        <v/>
      </c>
      <c r="H907" s="29"/>
      <c r="I907" s="32" t="str">
        <f aca="false">IF(OR(E907="",F907=""),"",F907*G907-N(H907))</f>
        <v/>
      </c>
      <c r="J907" s="29"/>
      <c r="K907" s="32" t="str">
        <f aca="false">IF(AND(I907="",N(J907)=0),"",N(I907)+N(J907))</f>
        <v/>
      </c>
      <c r="L907" s="32" t="str">
        <f aca="false">IF(OR(E907="",F907=""),"",F907*IFERROR(INDEX(Товары!$C$4:$C$200,MATCH(E907,Товары!$B$4:$B$200,0)),0))</f>
        <v/>
      </c>
      <c r="M907" s="32" t="str">
        <f aca="false">IF(I907="","",I907-L907)</f>
        <v/>
      </c>
      <c r="N907" s="28"/>
      <c r="O907" s="28"/>
      <c r="P907" s="28"/>
      <c r="Q907" s="28"/>
      <c r="R907" s="35"/>
      <c r="S907" s="28"/>
    </row>
    <row r="908" customFormat="false" ht="15" hidden="false" customHeight="false" outlineLevel="0" collapsed="false">
      <c r="A908" s="34" t="str">
        <f aca="false">IF(E908="","",ROW()-3)</f>
        <v/>
      </c>
      <c r="B908" s="35"/>
      <c r="C908" s="28"/>
      <c r="D908" s="28"/>
      <c r="E908" s="28"/>
      <c r="F908" s="28"/>
      <c r="G908" s="32" t="str">
        <f aca="false">IF(E908="","",IFERROR(INDEX(Товары!$D$4:$D$200,MATCH(E908,Товары!$B$4:$B$200,0)),0))</f>
        <v/>
      </c>
      <c r="H908" s="29"/>
      <c r="I908" s="32" t="str">
        <f aca="false">IF(OR(E908="",F908=""),"",F908*G908-N(H908))</f>
        <v/>
      </c>
      <c r="J908" s="29"/>
      <c r="K908" s="32" t="str">
        <f aca="false">IF(AND(I908="",N(J908)=0),"",N(I908)+N(J908))</f>
        <v/>
      </c>
      <c r="L908" s="32" t="str">
        <f aca="false">IF(OR(E908="",F908=""),"",F908*IFERROR(INDEX(Товары!$C$4:$C$200,MATCH(E908,Товары!$B$4:$B$200,0)),0))</f>
        <v/>
      </c>
      <c r="M908" s="32" t="str">
        <f aca="false">IF(I908="","",I908-L908)</f>
        <v/>
      </c>
      <c r="N908" s="28"/>
      <c r="O908" s="28"/>
      <c r="P908" s="28"/>
      <c r="Q908" s="28"/>
      <c r="R908" s="35"/>
      <c r="S908" s="28"/>
    </row>
    <row r="909" customFormat="false" ht="15" hidden="false" customHeight="false" outlineLevel="0" collapsed="false">
      <c r="A909" s="34" t="str">
        <f aca="false">IF(E909="","",ROW()-3)</f>
        <v/>
      </c>
      <c r="B909" s="35"/>
      <c r="C909" s="28"/>
      <c r="D909" s="28"/>
      <c r="E909" s="28"/>
      <c r="F909" s="28"/>
      <c r="G909" s="32" t="str">
        <f aca="false">IF(E909="","",IFERROR(INDEX(Товары!$D$4:$D$200,MATCH(E909,Товары!$B$4:$B$200,0)),0))</f>
        <v/>
      </c>
      <c r="H909" s="29"/>
      <c r="I909" s="32" t="str">
        <f aca="false">IF(OR(E909="",F909=""),"",F909*G909-N(H909))</f>
        <v/>
      </c>
      <c r="J909" s="29"/>
      <c r="K909" s="32" t="str">
        <f aca="false">IF(AND(I909="",N(J909)=0),"",N(I909)+N(J909))</f>
        <v/>
      </c>
      <c r="L909" s="32" t="str">
        <f aca="false">IF(OR(E909="",F909=""),"",F909*IFERROR(INDEX(Товары!$C$4:$C$200,MATCH(E909,Товары!$B$4:$B$200,0)),0))</f>
        <v/>
      </c>
      <c r="M909" s="32" t="str">
        <f aca="false">IF(I909="","",I909-L909)</f>
        <v/>
      </c>
      <c r="N909" s="28"/>
      <c r="O909" s="28"/>
      <c r="P909" s="28"/>
      <c r="Q909" s="28"/>
      <c r="R909" s="35"/>
      <c r="S909" s="28"/>
    </row>
    <row r="910" customFormat="false" ht="15" hidden="false" customHeight="false" outlineLevel="0" collapsed="false">
      <c r="A910" s="34" t="str">
        <f aca="false">IF(E910="","",ROW()-3)</f>
        <v/>
      </c>
      <c r="B910" s="35"/>
      <c r="C910" s="28"/>
      <c r="D910" s="28"/>
      <c r="E910" s="28"/>
      <c r="F910" s="28"/>
      <c r="G910" s="32" t="str">
        <f aca="false">IF(E910="","",IFERROR(INDEX(Товары!$D$4:$D$200,MATCH(E910,Товары!$B$4:$B$200,0)),0))</f>
        <v/>
      </c>
      <c r="H910" s="29"/>
      <c r="I910" s="32" t="str">
        <f aca="false">IF(OR(E910="",F910=""),"",F910*G910-N(H910))</f>
        <v/>
      </c>
      <c r="J910" s="29"/>
      <c r="K910" s="32" t="str">
        <f aca="false">IF(AND(I910="",N(J910)=0),"",N(I910)+N(J910))</f>
        <v/>
      </c>
      <c r="L910" s="32" t="str">
        <f aca="false">IF(OR(E910="",F910=""),"",F910*IFERROR(INDEX(Товары!$C$4:$C$200,MATCH(E910,Товары!$B$4:$B$200,0)),0))</f>
        <v/>
      </c>
      <c r="M910" s="32" t="str">
        <f aca="false">IF(I910="","",I910-L910)</f>
        <v/>
      </c>
      <c r="N910" s="28"/>
      <c r="O910" s="28"/>
      <c r="P910" s="28"/>
      <c r="Q910" s="28"/>
      <c r="R910" s="35"/>
      <c r="S910" s="28"/>
    </row>
    <row r="911" customFormat="false" ht="15" hidden="false" customHeight="false" outlineLevel="0" collapsed="false">
      <c r="A911" s="34" t="str">
        <f aca="false">IF(E911="","",ROW()-3)</f>
        <v/>
      </c>
      <c r="B911" s="35"/>
      <c r="C911" s="28"/>
      <c r="D911" s="28"/>
      <c r="E911" s="28"/>
      <c r="F911" s="28"/>
      <c r="G911" s="32" t="str">
        <f aca="false">IF(E911="","",IFERROR(INDEX(Товары!$D$4:$D$200,MATCH(E911,Товары!$B$4:$B$200,0)),0))</f>
        <v/>
      </c>
      <c r="H911" s="29"/>
      <c r="I911" s="32" t="str">
        <f aca="false">IF(OR(E911="",F911=""),"",F911*G911-N(H911))</f>
        <v/>
      </c>
      <c r="J911" s="29"/>
      <c r="K911" s="32" t="str">
        <f aca="false">IF(AND(I911="",N(J911)=0),"",N(I911)+N(J911))</f>
        <v/>
      </c>
      <c r="L911" s="32" t="str">
        <f aca="false">IF(OR(E911="",F911=""),"",F911*IFERROR(INDEX(Товары!$C$4:$C$200,MATCH(E911,Товары!$B$4:$B$200,0)),0))</f>
        <v/>
      </c>
      <c r="M911" s="32" t="str">
        <f aca="false">IF(I911="","",I911-L911)</f>
        <v/>
      </c>
      <c r="N911" s="28"/>
      <c r="O911" s="28"/>
      <c r="P911" s="28"/>
      <c r="Q911" s="28"/>
      <c r="R911" s="35"/>
      <c r="S911" s="28"/>
    </row>
    <row r="912" customFormat="false" ht="15" hidden="false" customHeight="false" outlineLevel="0" collapsed="false">
      <c r="A912" s="34" t="str">
        <f aca="false">IF(E912="","",ROW()-3)</f>
        <v/>
      </c>
      <c r="B912" s="35"/>
      <c r="C912" s="28"/>
      <c r="D912" s="28"/>
      <c r="E912" s="28"/>
      <c r="F912" s="28"/>
      <c r="G912" s="32" t="str">
        <f aca="false">IF(E912="","",IFERROR(INDEX(Товары!$D$4:$D$200,MATCH(E912,Товары!$B$4:$B$200,0)),0))</f>
        <v/>
      </c>
      <c r="H912" s="29"/>
      <c r="I912" s="32" t="str">
        <f aca="false">IF(OR(E912="",F912=""),"",F912*G912-N(H912))</f>
        <v/>
      </c>
      <c r="J912" s="29"/>
      <c r="K912" s="32" t="str">
        <f aca="false">IF(AND(I912="",N(J912)=0),"",N(I912)+N(J912))</f>
        <v/>
      </c>
      <c r="L912" s="32" t="str">
        <f aca="false">IF(OR(E912="",F912=""),"",F912*IFERROR(INDEX(Товары!$C$4:$C$200,MATCH(E912,Товары!$B$4:$B$200,0)),0))</f>
        <v/>
      </c>
      <c r="M912" s="32" t="str">
        <f aca="false">IF(I912="","",I912-L912)</f>
        <v/>
      </c>
      <c r="N912" s="28"/>
      <c r="O912" s="28"/>
      <c r="P912" s="28"/>
      <c r="Q912" s="28"/>
      <c r="R912" s="35"/>
      <c r="S912" s="28"/>
    </row>
    <row r="913" customFormat="false" ht="15" hidden="false" customHeight="false" outlineLevel="0" collapsed="false">
      <c r="A913" s="34" t="str">
        <f aca="false">IF(E913="","",ROW()-3)</f>
        <v/>
      </c>
      <c r="B913" s="35"/>
      <c r="C913" s="28"/>
      <c r="D913" s="28"/>
      <c r="E913" s="28"/>
      <c r="F913" s="28"/>
      <c r="G913" s="32" t="str">
        <f aca="false">IF(E913="","",IFERROR(INDEX(Товары!$D$4:$D$200,MATCH(E913,Товары!$B$4:$B$200,0)),0))</f>
        <v/>
      </c>
      <c r="H913" s="29"/>
      <c r="I913" s="32" t="str">
        <f aca="false">IF(OR(E913="",F913=""),"",F913*G913-N(H913))</f>
        <v/>
      </c>
      <c r="J913" s="29"/>
      <c r="K913" s="32" t="str">
        <f aca="false">IF(AND(I913="",N(J913)=0),"",N(I913)+N(J913))</f>
        <v/>
      </c>
      <c r="L913" s="32" t="str">
        <f aca="false">IF(OR(E913="",F913=""),"",F913*IFERROR(INDEX(Товары!$C$4:$C$200,MATCH(E913,Товары!$B$4:$B$200,0)),0))</f>
        <v/>
      </c>
      <c r="M913" s="32" t="str">
        <f aca="false">IF(I913="","",I913-L913)</f>
        <v/>
      </c>
      <c r="N913" s="28"/>
      <c r="O913" s="28"/>
      <c r="P913" s="28"/>
      <c r="Q913" s="28"/>
      <c r="R913" s="35"/>
      <c r="S913" s="28"/>
    </row>
    <row r="914" customFormat="false" ht="15" hidden="false" customHeight="false" outlineLevel="0" collapsed="false">
      <c r="A914" s="34" t="str">
        <f aca="false">IF(E914="","",ROW()-3)</f>
        <v/>
      </c>
      <c r="B914" s="35"/>
      <c r="C914" s="28"/>
      <c r="D914" s="28"/>
      <c r="E914" s="28"/>
      <c r="F914" s="28"/>
      <c r="G914" s="32" t="str">
        <f aca="false">IF(E914="","",IFERROR(INDEX(Товары!$D$4:$D$200,MATCH(E914,Товары!$B$4:$B$200,0)),0))</f>
        <v/>
      </c>
      <c r="H914" s="29"/>
      <c r="I914" s="32" t="str">
        <f aca="false">IF(OR(E914="",F914=""),"",F914*G914-N(H914))</f>
        <v/>
      </c>
      <c r="J914" s="29"/>
      <c r="K914" s="32" t="str">
        <f aca="false">IF(AND(I914="",N(J914)=0),"",N(I914)+N(J914))</f>
        <v/>
      </c>
      <c r="L914" s="32" t="str">
        <f aca="false">IF(OR(E914="",F914=""),"",F914*IFERROR(INDEX(Товары!$C$4:$C$200,MATCH(E914,Товары!$B$4:$B$200,0)),0))</f>
        <v/>
      </c>
      <c r="M914" s="32" t="str">
        <f aca="false">IF(I914="","",I914-L914)</f>
        <v/>
      </c>
      <c r="N914" s="28"/>
      <c r="O914" s="28"/>
      <c r="P914" s="28"/>
      <c r="Q914" s="28"/>
      <c r="R914" s="35"/>
      <c r="S914" s="28"/>
    </row>
    <row r="915" customFormat="false" ht="15" hidden="false" customHeight="false" outlineLevel="0" collapsed="false">
      <c r="A915" s="34" t="str">
        <f aca="false">IF(E915="","",ROW()-3)</f>
        <v/>
      </c>
      <c r="B915" s="35"/>
      <c r="C915" s="28"/>
      <c r="D915" s="28"/>
      <c r="E915" s="28"/>
      <c r="F915" s="28"/>
      <c r="G915" s="32" t="str">
        <f aca="false">IF(E915="","",IFERROR(INDEX(Товары!$D$4:$D$200,MATCH(E915,Товары!$B$4:$B$200,0)),0))</f>
        <v/>
      </c>
      <c r="H915" s="29"/>
      <c r="I915" s="32" t="str">
        <f aca="false">IF(OR(E915="",F915=""),"",F915*G915-N(H915))</f>
        <v/>
      </c>
      <c r="J915" s="29"/>
      <c r="K915" s="32" t="str">
        <f aca="false">IF(AND(I915="",N(J915)=0),"",N(I915)+N(J915))</f>
        <v/>
      </c>
      <c r="L915" s="32" t="str">
        <f aca="false">IF(OR(E915="",F915=""),"",F915*IFERROR(INDEX(Товары!$C$4:$C$200,MATCH(E915,Товары!$B$4:$B$200,0)),0))</f>
        <v/>
      </c>
      <c r="M915" s="32" t="str">
        <f aca="false">IF(I915="","",I915-L915)</f>
        <v/>
      </c>
      <c r="N915" s="28"/>
      <c r="O915" s="28"/>
      <c r="P915" s="28"/>
      <c r="Q915" s="28"/>
      <c r="R915" s="35"/>
      <c r="S915" s="28"/>
    </row>
    <row r="916" customFormat="false" ht="15" hidden="false" customHeight="false" outlineLevel="0" collapsed="false">
      <c r="A916" s="34" t="str">
        <f aca="false">IF(E916="","",ROW()-3)</f>
        <v/>
      </c>
      <c r="B916" s="35"/>
      <c r="C916" s="28"/>
      <c r="D916" s="28"/>
      <c r="E916" s="28"/>
      <c r="F916" s="28"/>
      <c r="G916" s="32" t="str">
        <f aca="false">IF(E916="","",IFERROR(INDEX(Товары!$D$4:$D$200,MATCH(E916,Товары!$B$4:$B$200,0)),0))</f>
        <v/>
      </c>
      <c r="H916" s="29"/>
      <c r="I916" s="32" t="str">
        <f aca="false">IF(OR(E916="",F916=""),"",F916*G916-N(H916))</f>
        <v/>
      </c>
      <c r="J916" s="29"/>
      <c r="K916" s="32" t="str">
        <f aca="false">IF(AND(I916="",N(J916)=0),"",N(I916)+N(J916))</f>
        <v/>
      </c>
      <c r="L916" s="32" t="str">
        <f aca="false">IF(OR(E916="",F916=""),"",F916*IFERROR(INDEX(Товары!$C$4:$C$200,MATCH(E916,Товары!$B$4:$B$200,0)),0))</f>
        <v/>
      </c>
      <c r="M916" s="32" t="str">
        <f aca="false">IF(I916="","",I916-L916)</f>
        <v/>
      </c>
      <c r="N916" s="28"/>
      <c r="O916" s="28"/>
      <c r="P916" s="28"/>
      <c r="Q916" s="28"/>
      <c r="R916" s="35"/>
      <c r="S916" s="28"/>
    </row>
    <row r="917" customFormat="false" ht="15" hidden="false" customHeight="false" outlineLevel="0" collapsed="false">
      <c r="A917" s="34" t="str">
        <f aca="false">IF(E917="","",ROW()-3)</f>
        <v/>
      </c>
      <c r="B917" s="35"/>
      <c r="C917" s="28"/>
      <c r="D917" s="28"/>
      <c r="E917" s="28"/>
      <c r="F917" s="28"/>
      <c r="G917" s="32" t="str">
        <f aca="false">IF(E917="","",IFERROR(INDEX(Товары!$D$4:$D$200,MATCH(E917,Товары!$B$4:$B$200,0)),0))</f>
        <v/>
      </c>
      <c r="H917" s="29"/>
      <c r="I917" s="32" t="str">
        <f aca="false">IF(OR(E917="",F917=""),"",F917*G917-N(H917))</f>
        <v/>
      </c>
      <c r="J917" s="29"/>
      <c r="K917" s="32" t="str">
        <f aca="false">IF(AND(I917="",N(J917)=0),"",N(I917)+N(J917))</f>
        <v/>
      </c>
      <c r="L917" s="32" t="str">
        <f aca="false">IF(OR(E917="",F917=""),"",F917*IFERROR(INDEX(Товары!$C$4:$C$200,MATCH(E917,Товары!$B$4:$B$200,0)),0))</f>
        <v/>
      </c>
      <c r="M917" s="32" t="str">
        <f aca="false">IF(I917="","",I917-L917)</f>
        <v/>
      </c>
      <c r="N917" s="28"/>
      <c r="O917" s="28"/>
      <c r="P917" s="28"/>
      <c r="Q917" s="28"/>
      <c r="R917" s="35"/>
      <c r="S917" s="28"/>
    </row>
    <row r="918" customFormat="false" ht="15" hidden="false" customHeight="false" outlineLevel="0" collapsed="false">
      <c r="A918" s="34" t="str">
        <f aca="false">IF(E918="","",ROW()-3)</f>
        <v/>
      </c>
      <c r="B918" s="35"/>
      <c r="C918" s="28"/>
      <c r="D918" s="28"/>
      <c r="E918" s="28"/>
      <c r="F918" s="28"/>
      <c r="G918" s="32" t="str">
        <f aca="false">IF(E918="","",IFERROR(INDEX(Товары!$D$4:$D$200,MATCH(E918,Товары!$B$4:$B$200,0)),0))</f>
        <v/>
      </c>
      <c r="H918" s="29"/>
      <c r="I918" s="32" t="str">
        <f aca="false">IF(OR(E918="",F918=""),"",F918*G918-N(H918))</f>
        <v/>
      </c>
      <c r="J918" s="29"/>
      <c r="K918" s="32" t="str">
        <f aca="false">IF(AND(I918="",N(J918)=0),"",N(I918)+N(J918))</f>
        <v/>
      </c>
      <c r="L918" s="32" t="str">
        <f aca="false">IF(OR(E918="",F918=""),"",F918*IFERROR(INDEX(Товары!$C$4:$C$200,MATCH(E918,Товары!$B$4:$B$200,0)),0))</f>
        <v/>
      </c>
      <c r="M918" s="32" t="str">
        <f aca="false">IF(I918="","",I918-L918)</f>
        <v/>
      </c>
      <c r="N918" s="28"/>
      <c r="O918" s="28"/>
      <c r="P918" s="28"/>
      <c r="Q918" s="28"/>
      <c r="R918" s="35"/>
      <c r="S918" s="28"/>
    </row>
    <row r="919" customFormat="false" ht="15" hidden="false" customHeight="false" outlineLevel="0" collapsed="false">
      <c r="A919" s="34" t="str">
        <f aca="false">IF(E919="","",ROW()-3)</f>
        <v/>
      </c>
      <c r="B919" s="35"/>
      <c r="C919" s="28"/>
      <c r="D919" s="28"/>
      <c r="E919" s="28"/>
      <c r="F919" s="28"/>
      <c r="G919" s="32" t="str">
        <f aca="false">IF(E919="","",IFERROR(INDEX(Товары!$D$4:$D$200,MATCH(E919,Товары!$B$4:$B$200,0)),0))</f>
        <v/>
      </c>
      <c r="H919" s="29"/>
      <c r="I919" s="32" t="str">
        <f aca="false">IF(OR(E919="",F919=""),"",F919*G919-N(H919))</f>
        <v/>
      </c>
      <c r="J919" s="29"/>
      <c r="K919" s="32" t="str">
        <f aca="false">IF(AND(I919="",N(J919)=0),"",N(I919)+N(J919))</f>
        <v/>
      </c>
      <c r="L919" s="32" t="str">
        <f aca="false">IF(OR(E919="",F919=""),"",F919*IFERROR(INDEX(Товары!$C$4:$C$200,MATCH(E919,Товары!$B$4:$B$200,0)),0))</f>
        <v/>
      </c>
      <c r="M919" s="32" t="str">
        <f aca="false">IF(I919="","",I919-L919)</f>
        <v/>
      </c>
      <c r="N919" s="28"/>
      <c r="O919" s="28"/>
      <c r="P919" s="28"/>
      <c r="Q919" s="28"/>
      <c r="R919" s="35"/>
      <c r="S919" s="28"/>
    </row>
    <row r="920" customFormat="false" ht="15" hidden="false" customHeight="false" outlineLevel="0" collapsed="false">
      <c r="A920" s="34" t="str">
        <f aca="false">IF(E920="","",ROW()-3)</f>
        <v/>
      </c>
      <c r="B920" s="35"/>
      <c r="C920" s="28"/>
      <c r="D920" s="28"/>
      <c r="E920" s="28"/>
      <c r="F920" s="28"/>
      <c r="G920" s="32" t="str">
        <f aca="false">IF(E920="","",IFERROR(INDEX(Товары!$D$4:$D$200,MATCH(E920,Товары!$B$4:$B$200,0)),0))</f>
        <v/>
      </c>
      <c r="H920" s="29"/>
      <c r="I920" s="32" t="str">
        <f aca="false">IF(OR(E920="",F920=""),"",F920*G920-N(H920))</f>
        <v/>
      </c>
      <c r="J920" s="29"/>
      <c r="K920" s="32" t="str">
        <f aca="false">IF(AND(I920="",N(J920)=0),"",N(I920)+N(J920))</f>
        <v/>
      </c>
      <c r="L920" s="32" t="str">
        <f aca="false">IF(OR(E920="",F920=""),"",F920*IFERROR(INDEX(Товары!$C$4:$C$200,MATCH(E920,Товары!$B$4:$B$200,0)),0))</f>
        <v/>
      </c>
      <c r="M920" s="32" t="str">
        <f aca="false">IF(I920="","",I920-L920)</f>
        <v/>
      </c>
      <c r="N920" s="28"/>
      <c r="O920" s="28"/>
      <c r="P920" s="28"/>
      <c r="Q920" s="28"/>
      <c r="R920" s="35"/>
      <c r="S920" s="28"/>
    </row>
    <row r="921" customFormat="false" ht="15" hidden="false" customHeight="false" outlineLevel="0" collapsed="false">
      <c r="A921" s="34" t="str">
        <f aca="false">IF(E921="","",ROW()-3)</f>
        <v/>
      </c>
      <c r="B921" s="35"/>
      <c r="C921" s="28"/>
      <c r="D921" s="28"/>
      <c r="E921" s="28"/>
      <c r="F921" s="28"/>
      <c r="G921" s="32" t="str">
        <f aca="false">IF(E921="","",IFERROR(INDEX(Товары!$D$4:$D$200,MATCH(E921,Товары!$B$4:$B$200,0)),0))</f>
        <v/>
      </c>
      <c r="H921" s="29"/>
      <c r="I921" s="32" t="str">
        <f aca="false">IF(OR(E921="",F921=""),"",F921*G921-N(H921))</f>
        <v/>
      </c>
      <c r="J921" s="29"/>
      <c r="K921" s="32" t="str">
        <f aca="false">IF(AND(I921="",N(J921)=0),"",N(I921)+N(J921))</f>
        <v/>
      </c>
      <c r="L921" s="32" t="str">
        <f aca="false">IF(OR(E921="",F921=""),"",F921*IFERROR(INDEX(Товары!$C$4:$C$200,MATCH(E921,Товары!$B$4:$B$200,0)),0))</f>
        <v/>
      </c>
      <c r="M921" s="32" t="str">
        <f aca="false">IF(I921="","",I921-L921)</f>
        <v/>
      </c>
      <c r="N921" s="28"/>
      <c r="O921" s="28"/>
      <c r="P921" s="28"/>
      <c r="Q921" s="28"/>
      <c r="R921" s="35"/>
      <c r="S921" s="28"/>
    </row>
    <row r="922" customFormat="false" ht="15" hidden="false" customHeight="false" outlineLevel="0" collapsed="false">
      <c r="A922" s="34" t="str">
        <f aca="false">IF(E922="","",ROW()-3)</f>
        <v/>
      </c>
      <c r="B922" s="35"/>
      <c r="C922" s="28"/>
      <c r="D922" s="28"/>
      <c r="E922" s="28"/>
      <c r="F922" s="28"/>
      <c r="G922" s="32" t="str">
        <f aca="false">IF(E922="","",IFERROR(INDEX(Товары!$D$4:$D$200,MATCH(E922,Товары!$B$4:$B$200,0)),0))</f>
        <v/>
      </c>
      <c r="H922" s="29"/>
      <c r="I922" s="32" t="str">
        <f aca="false">IF(OR(E922="",F922=""),"",F922*G922-N(H922))</f>
        <v/>
      </c>
      <c r="J922" s="29"/>
      <c r="K922" s="32" t="str">
        <f aca="false">IF(AND(I922="",N(J922)=0),"",N(I922)+N(J922))</f>
        <v/>
      </c>
      <c r="L922" s="32" t="str">
        <f aca="false">IF(OR(E922="",F922=""),"",F922*IFERROR(INDEX(Товары!$C$4:$C$200,MATCH(E922,Товары!$B$4:$B$200,0)),0))</f>
        <v/>
      </c>
      <c r="M922" s="32" t="str">
        <f aca="false">IF(I922="","",I922-L922)</f>
        <v/>
      </c>
      <c r="N922" s="28"/>
      <c r="O922" s="28"/>
      <c r="P922" s="28"/>
      <c r="Q922" s="28"/>
      <c r="R922" s="35"/>
      <c r="S922" s="28"/>
    </row>
    <row r="923" customFormat="false" ht="15" hidden="false" customHeight="false" outlineLevel="0" collapsed="false">
      <c r="A923" s="34" t="str">
        <f aca="false">IF(E923="","",ROW()-3)</f>
        <v/>
      </c>
      <c r="B923" s="35"/>
      <c r="C923" s="28"/>
      <c r="D923" s="28"/>
      <c r="E923" s="28"/>
      <c r="F923" s="28"/>
      <c r="G923" s="32" t="str">
        <f aca="false">IF(E923="","",IFERROR(INDEX(Товары!$D$4:$D$200,MATCH(E923,Товары!$B$4:$B$200,0)),0))</f>
        <v/>
      </c>
      <c r="H923" s="29"/>
      <c r="I923" s="32" t="str">
        <f aca="false">IF(OR(E923="",F923=""),"",F923*G923-N(H923))</f>
        <v/>
      </c>
      <c r="J923" s="29"/>
      <c r="K923" s="32" t="str">
        <f aca="false">IF(AND(I923="",N(J923)=0),"",N(I923)+N(J923))</f>
        <v/>
      </c>
      <c r="L923" s="32" t="str">
        <f aca="false">IF(OR(E923="",F923=""),"",F923*IFERROR(INDEX(Товары!$C$4:$C$200,MATCH(E923,Товары!$B$4:$B$200,0)),0))</f>
        <v/>
      </c>
      <c r="M923" s="32" t="str">
        <f aca="false">IF(I923="","",I923-L923)</f>
        <v/>
      </c>
      <c r="N923" s="28"/>
      <c r="O923" s="28"/>
      <c r="P923" s="28"/>
      <c r="Q923" s="28"/>
      <c r="R923" s="35"/>
      <c r="S923" s="28"/>
    </row>
    <row r="924" customFormat="false" ht="15" hidden="false" customHeight="false" outlineLevel="0" collapsed="false">
      <c r="A924" s="34" t="str">
        <f aca="false">IF(E924="","",ROW()-3)</f>
        <v/>
      </c>
      <c r="B924" s="35"/>
      <c r="C924" s="28"/>
      <c r="D924" s="28"/>
      <c r="E924" s="28"/>
      <c r="F924" s="28"/>
      <c r="G924" s="32" t="str">
        <f aca="false">IF(E924="","",IFERROR(INDEX(Товары!$D$4:$D$200,MATCH(E924,Товары!$B$4:$B$200,0)),0))</f>
        <v/>
      </c>
      <c r="H924" s="29"/>
      <c r="I924" s="32" t="str">
        <f aca="false">IF(OR(E924="",F924=""),"",F924*G924-N(H924))</f>
        <v/>
      </c>
      <c r="J924" s="29"/>
      <c r="K924" s="32" t="str">
        <f aca="false">IF(AND(I924="",N(J924)=0),"",N(I924)+N(J924))</f>
        <v/>
      </c>
      <c r="L924" s="32" t="str">
        <f aca="false">IF(OR(E924="",F924=""),"",F924*IFERROR(INDEX(Товары!$C$4:$C$200,MATCH(E924,Товары!$B$4:$B$200,0)),0))</f>
        <v/>
      </c>
      <c r="M924" s="32" t="str">
        <f aca="false">IF(I924="","",I924-L924)</f>
        <v/>
      </c>
      <c r="N924" s="28"/>
      <c r="O924" s="28"/>
      <c r="P924" s="28"/>
      <c r="Q924" s="28"/>
      <c r="R924" s="35"/>
      <c r="S924" s="28"/>
    </row>
    <row r="925" customFormat="false" ht="15" hidden="false" customHeight="false" outlineLevel="0" collapsed="false">
      <c r="A925" s="34" t="str">
        <f aca="false">IF(E925="","",ROW()-3)</f>
        <v/>
      </c>
      <c r="B925" s="35"/>
      <c r="C925" s="28"/>
      <c r="D925" s="28"/>
      <c r="E925" s="28"/>
      <c r="F925" s="28"/>
      <c r="G925" s="32" t="str">
        <f aca="false">IF(E925="","",IFERROR(INDEX(Товары!$D$4:$D$200,MATCH(E925,Товары!$B$4:$B$200,0)),0))</f>
        <v/>
      </c>
      <c r="H925" s="29"/>
      <c r="I925" s="32" t="str">
        <f aca="false">IF(OR(E925="",F925=""),"",F925*G925-N(H925))</f>
        <v/>
      </c>
      <c r="J925" s="29"/>
      <c r="K925" s="32" t="str">
        <f aca="false">IF(AND(I925="",N(J925)=0),"",N(I925)+N(J925))</f>
        <v/>
      </c>
      <c r="L925" s="32" t="str">
        <f aca="false">IF(OR(E925="",F925=""),"",F925*IFERROR(INDEX(Товары!$C$4:$C$200,MATCH(E925,Товары!$B$4:$B$200,0)),0))</f>
        <v/>
      </c>
      <c r="M925" s="32" t="str">
        <f aca="false">IF(I925="","",I925-L925)</f>
        <v/>
      </c>
      <c r="N925" s="28"/>
      <c r="O925" s="28"/>
      <c r="P925" s="28"/>
      <c r="Q925" s="28"/>
      <c r="R925" s="35"/>
      <c r="S925" s="28"/>
    </row>
    <row r="926" customFormat="false" ht="15" hidden="false" customHeight="false" outlineLevel="0" collapsed="false">
      <c r="A926" s="34" t="str">
        <f aca="false">IF(E926="","",ROW()-3)</f>
        <v/>
      </c>
      <c r="B926" s="35"/>
      <c r="C926" s="28"/>
      <c r="D926" s="28"/>
      <c r="E926" s="28"/>
      <c r="F926" s="28"/>
      <c r="G926" s="32" t="str">
        <f aca="false">IF(E926="","",IFERROR(INDEX(Товары!$D$4:$D$200,MATCH(E926,Товары!$B$4:$B$200,0)),0))</f>
        <v/>
      </c>
      <c r="H926" s="29"/>
      <c r="I926" s="32" t="str">
        <f aca="false">IF(OR(E926="",F926=""),"",F926*G926-N(H926))</f>
        <v/>
      </c>
      <c r="J926" s="29"/>
      <c r="K926" s="32" t="str">
        <f aca="false">IF(AND(I926="",N(J926)=0),"",N(I926)+N(J926))</f>
        <v/>
      </c>
      <c r="L926" s="32" t="str">
        <f aca="false">IF(OR(E926="",F926=""),"",F926*IFERROR(INDEX(Товары!$C$4:$C$200,MATCH(E926,Товары!$B$4:$B$200,0)),0))</f>
        <v/>
      </c>
      <c r="M926" s="32" t="str">
        <f aca="false">IF(I926="","",I926-L926)</f>
        <v/>
      </c>
      <c r="N926" s="28"/>
      <c r="O926" s="28"/>
      <c r="P926" s="28"/>
      <c r="Q926" s="28"/>
      <c r="R926" s="35"/>
      <c r="S926" s="28"/>
    </row>
    <row r="927" customFormat="false" ht="15" hidden="false" customHeight="false" outlineLevel="0" collapsed="false">
      <c r="A927" s="34" t="str">
        <f aca="false">IF(E927="","",ROW()-3)</f>
        <v/>
      </c>
      <c r="B927" s="35"/>
      <c r="C927" s="28"/>
      <c r="D927" s="28"/>
      <c r="E927" s="28"/>
      <c r="F927" s="28"/>
      <c r="G927" s="32" t="str">
        <f aca="false">IF(E927="","",IFERROR(INDEX(Товары!$D$4:$D$200,MATCH(E927,Товары!$B$4:$B$200,0)),0))</f>
        <v/>
      </c>
      <c r="H927" s="29"/>
      <c r="I927" s="32" t="str">
        <f aca="false">IF(OR(E927="",F927=""),"",F927*G927-N(H927))</f>
        <v/>
      </c>
      <c r="J927" s="29"/>
      <c r="K927" s="32" t="str">
        <f aca="false">IF(AND(I927="",N(J927)=0),"",N(I927)+N(J927))</f>
        <v/>
      </c>
      <c r="L927" s="32" t="str">
        <f aca="false">IF(OR(E927="",F927=""),"",F927*IFERROR(INDEX(Товары!$C$4:$C$200,MATCH(E927,Товары!$B$4:$B$200,0)),0))</f>
        <v/>
      </c>
      <c r="M927" s="32" t="str">
        <f aca="false">IF(I927="","",I927-L927)</f>
        <v/>
      </c>
      <c r="N927" s="28"/>
      <c r="O927" s="28"/>
      <c r="P927" s="28"/>
      <c r="Q927" s="28"/>
      <c r="R927" s="35"/>
      <c r="S927" s="28"/>
    </row>
    <row r="928" customFormat="false" ht="15" hidden="false" customHeight="false" outlineLevel="0" collapsed="false">
      <c r="A928" s="34" t="str">
        <f aca="false">IF(E928="","",ROW()-3)</f>
        <v/>
      </c>
      <c r="B928" s="35"/>
      <c r="C928" s="28"/>
      <c r="D928" s="28"/>
      <c r="E928" s="28"/>
      <c r="F928" s="28"/>
      <c r="G928" s="32" t="str">
        <f aca="false">IF(E928="","",IFERROR(INDEX(Товары!$D$4:$D$200,MATCH(E928,Товары!$B$4:$B$200,0)),0))</f>
        <v/>
      </c>
      <c r="H928" s="29"/>
      <c r="I928" s="32" t="str">
        <f aca="false">IF(OR(E928="",F928=""),"",F928*G928-N(H928))</f>
        <v/>
      </c>
      <c r="J928" s="29"/>
      <c r="K928" s="32" t="str">
        <f aca="false">IF(AND(I928="",N(J928)=0),"",N(I928)+N(J928))</f>
        <v/>
      </c>
      <c r="L928" s="32" t="str">
        <f aca="false">IF(OR(E928="",F928=""),"",F928*IFERROR(INDEX(Товары!$C$4:$C$200,MATCH(E928,Товары!$B$4:$B$200,0)),0))</f>
        <v/>
      </c>
      <c r="M928" s="32" t="str">
        <f aca="false">IF(I928="","",I928-L928)</f>
        <v/>
      </c>
      <c r="N928" s="28"/>
      <c r="O928" s="28"/>
      <c r="P928" s="28"/>
      <c r="Q928" s="28"/>
      <c r="R928" s="35"/>
      <c r="S928" s="28"/>
    </row>
    <row r="929" customFormat="false" ht="15" hidden="false" customHeight="false" outlineLevel="0" collapsed="false">
      <c r="A929" s="34" t="str">
        <f aca="false">IF(E929="","",ROW()-3)</f>
        <v/>
      </c>
      <c r="B929" s="35"/>
      <c r="C929" s="28"/>
      <c r="D929" s="28"/>
      <c r="E929" s="28"/>
      <c r="F929" s="28"/>
      <c r="G929" s="32" t="str">
        <f aca="false">IF(E929="","",IFERROR(INDEX(Товары!$D$4:$D$200,MATCH(E929,Товары!$B$4:$B$200,0)),0))</f>
        <v/>
      </c>
      <c r="H929" s="29"/>
      <c r="I929" s="32" t="str">
        <f aca="false">IF(OR(E929="",F929=""),"",F929*G929-N(H929))</f>
        <v/>
      </c>
      <c r="J929" s="29"/>
      <c r="K929" s="32" t="str">
        <f aca="false">IF(AND(I929="",N(J929)=0),"",N(I929)+N(J929))</f>
        <v/>
      </c>
      <c r="L929" s="32" t="str">
        <f aca="false">IF(OR(E929="",F929=""),"",F929*IFERROR(INDEX(Товары!$C$4:$C$200,MATCH(E929,Товары!$B$4:$B$200,0)),0))</f>
        <v/>
      </c>
      <c r="M929" s="32" t="str">
        <f aca="false">IF(I929="","",I929-L929)</f>
        <v/>
      </c>
      <c r="N929" s="28"/>
      <c r="O929" s="28"/>
      <c r="P929" s="28"/>
      <c r="Q929" s="28"/>
      <c r="R929" s="35"/>
      <c r="S929" s="28"/>
    </row>
    <row r="930" customFormat="false" ht="15" hidden="false" customHeight="false" outlineLevel="0" collapsed="false">
      <c r="A930" s="34" t="str">
        <f aca="false">IF(E930="","",ROW()-3)</f>
        <v/>
      </c>
      <c r="B930" s="35"/>
      <c r="C930" s="28"/>
      <c r="D930" s="28"/>
      <c r="E930" s="28"/>
      <c r="F930" s="28"/>
      <c r="G930" s="32" t="str">
        <f aca="false">IF(E930="","",IFERROR(INDEX(Товары!$D$4:$D$200,MATCH(E930,Товары!$B$4:$B$200,0)),0))</f>
        <v/>
      </c>
      <c r="H930" s="29"/>
      <c r="I930" s="32" t="str">
        <f aca="false">IF(OR(E930="",F930=""),"",F930*G930-N(H930))</f>
        <v/>
      </c>
      <c r="J930" s="29"/>
      <c r="K930" s="32" t="str">
        <f aca="false">IF(AND(I930="",N(J930)=0),"",N(I930)+N(J930))</f>
        <v/>
      </c>
      <c r="L930" s="32" t="str">
        <f aca="false">IF(OR(E930="",F930=""),"",F930*IFERROR(INDEX(Товары!$C$4:$C$200,MATCH(E930,Товары!$B$4:$B$200,0)),0))</f>
        <v/>
      </c>
      <c r="M930" s="32" t="str">
        <f aca="false">IF(I930="","",I930-L930)</f>
        <v/>
      </c>
      <c r="N930" s="28"/>
      <c r="O930" s="28"/>
      <c r="P930" s="28"/>
      <c r="Q930" s="28"/>
      <c r="R930" s="35"/>
      <c r="S930" s="28"/>
    </row>
    <row r="931" customFormat="false" ht="15" hidden="false" customHeight="false" outlineLevel="0" collapsed="false">
      <c r="A931" s="34" t="str">
        <f aca="false">IF(E931="","",ROW()-3)</f>
        <v/>
      </c>
      <c r="B931" s="35"/>
      <c r="C931" s="28"/>
      <c r="D931" s="28"/>
      <c r="E931" s="28"/>
      <c r="F931" s="28"/>
      <c r="G931" s="32" t="str">
        <f aca="false">IF(E931="","",IFERROR(INDEX(Товары!$D$4:$D$200,MATCH(E931,Товары!$B$4:$B$200,0)),0))</f>
        <v/>
      </c>
      <c r="H931" s="29"/>
      <c r="I931" s="32" t="str">
        <f aca="false">IF(OR(E931="",F931=""),"",F931*G931-N(H931))</f>
        <v/>
      </c>
      <c r="J931" s="29"/>
      <c r="K931" s="32" t="str">
        <f aca="false">IF(AND(I931="",N(J931)=0),"",N(I931)+N(J931))</f>
        <v/>
      </c>
      <c r="L931" s="32" t="str">
        <f aca="false">IF(OR(E931="",F931=""),"",F931*IFERROR(INDEX(Товары!$C$4:$C$200,MATCH(E931,Товары!$B$4:$B$200,0)),0))</f>
        <v/>
      </c>
      <c r="M931" s="32" t="str">
        <f aca="false">IF(I931="","",I931-L931)</f>
        <v/>
      </c>
      <c r="N931" s="28"/>
      <c r="O931" s="28"/>
      <c r="P931" s="28"/>
      <c r="Q931" s="28"/>
      <c r="R931" s="35"/>
      <c r="S931" s="28"/>
    </row>
    <row r="932" customFormat="false" ht="15" hidden="false" customHeight="false" outlineLevel="0" collapsed="false">
      <c r="A932" s="34" t="str">
        <f aca="false">IF(E932="","",ROW()-3)</f>
        <v/>
      </c>
      <c r="B932" s="35"/>
      <c r="C932" s="28"/>
      <c r="D932" s="28"/>
      <c r="E932" s="28"/>
      <c r="F932" s="28"/>
      <c r="G932" s="32" t="str">
        <f aca="false">IF(E932="","",IFERROR(INDEX(Товары!$D$4:$D$200,MATCH(E932,Товары!$B$4:$B$200,0)),0))</f>
        <v/>
      </c>
      <c r="H932" s="29"/>
      <c r="I932" s="32" t="str">
        <f aca="false">IF(OR(E932="",F932=""),"",F932*G932-N(H932))</f>
        <v/>
      </c>
      <c r="J932" s="29"/>
      <c r="K932" s="32" t="str">
        <f aca="false">IF(AND(I932="",N(J932)=0),"",N(I932)+N(J932))</f>
        <v/>
      </c>
      <c r="L932" s="32" t="str">
        <f aca="false">IF(OR(E932="",F932=""),"",F932*IFERROR(INDEX(Товары!$C$4:$C$200,MATCH(E932,Товары!$B$4:$B$200,0)),0))</f>
        <v/>
      </c>
      <c r="M932" s="32" t="str">
        <f aca="false">IF(I932="","",I932-L932)</f>
        <v/>
      </c>
      <c r="N932" s="28"/>
      <c r="O932" s="28"/>
      <c r="P932" s="28"/>
      <c r="Q932" s="28"/>
      <c r="R932" s="35"/>
      <c r="S932" s="28"/>
    </row>
    <row r="933" customFormat="false" ht="15" hidden="false" customHeight="false" outlineLevel="0" collapsed="false">
      <c r="A933" s="34" t="str">
        <f aca="false">IF(E933="","",ROW()-3)</f>
        <v/>
      </c>
      <c r="B933" s="35"/>
      <c r="C933" s="28"/>
      <c r="D933" s="28"/>
      <c r="E933" s="28"/>
      <c r="F933" s="28"/>
      <c r="G933" s="32" t="str">
        <f aca="false">IF(E933="","",IFERROR(INDEX(Товары!$D$4:$D$200,MATCH(E933,Товары!$B$4:$B$200,0)),0))</f>
        <v/>
      </c>
      <c r="H933" s="29"/>
      <c r="I933" s="32" t="str">
        <f aca="false">IF(OR(E933="",F933=""),"",F933*G933-N(H933))</f>
        <v/>
      </c>
      <c r="J933" s="29"/>
      <c r="K933" s="32" t="str">
        <f aca="false">IF(AND(I933="",N(J933)=0),"",N(I933)+N(J933))</f>
        <v/>
      </c>
      <c r="L933" s="32" t="str">
        <f aca="false">IF(OR(E933="",F933=""),"",F933*IFERROR(INDEX(Товары!$C$4:$C$200,MATCH(E933,Товары!$B$4:$B$200,0)),0))</f>
        <v/>
      </c>
      <c r="M933" s="32" t="str">
        <f aca="false">IF(I933="","",I933-L933)</f>
        <v/>
      </c>
      <c r="N933" s="28"/>
      <c r="O933" s="28"/>
      <c r="P933" s="28"/>
      <c r="Q933" s="28"/>
      <c r="R933" s="35"/>
      <c r="S933" s="28"/>
    </row>
    <row r="934" customFormat="false" ht="15" hidden="false" customHeight="false" outlineLevel="0" collapsed="false">
      <c r="A934" s="34" t="str">
        <f aca="false">IF(E934="","",ROW()-3)</f>
        <v/>
      </c>
      <c r="B934" s="35"/>
      <c r="C934" s="28"/>
      <c r="D934" s="28"/>
      <c r="E934" s="28"/>
      <c r="F934" s="28"/>
      <c r="G934" s="32" t="str">
        <f aca="false">IF(E934="","",IFERROR(INDEX(Товары!$D$4:$D$200,MATCH(E934,Товары!$B$4:$B$200,0)),0))</f>
        <v/>
      </c>
      <c r="H934" s="29"/>
      <c r="I934" s="32" t="str">
        <f aca="false">IF(OR(E934="",F934=""),"",F934*G934-N(H934))</f>
        <v/>
      </c>
      <c r="J934" s="29"/>
      <c r="K934" s="32" t="str">
        <f aca="false">IF(AND(I934="",N(J934)=0),"",N(I934)+N(J934))</f>
        <v/>
      </c>
      <c r="L934" s="32" t="str">
        <f aca="false">IF(OR(E934="",F934=""),"",F934*IFERROR(INDEX(Товары!$C$4:$C$200,MATCH(E934,Товары!$B$4:$B$200,0)),0))</f>
        <v/>
      </c>
      <c r="M934" s="32" t="str">
        <f aca="false">IF(I934="","",I934-L934)</f>
        <v/>
      </c>
      <c r="N934" s="28"/>
      <c r="O934" s="28"/>
      <c r="P934" s="28"/>
      <c r="Q934" s="28"/>
      <c r="R934" s="35"/>
      <c r="S934" s="28"/>
    </row>
    <row r="935" customFormat="false" ht="15" hidden="false" customHeight="false" outlineLevel="0" collapsed="false">
      <c r="A935" s="34" t="str">
        <f aca="false">IF(E935="","",ROW()-3)</f>
        <v/>
      </c>
      <c r="B935" s="35"/>
      <c r="C935" s="28"/>
      <c r="D935" s="28"/>
      <c r="E935" s="28"/>
      <c r="F935" s="28"/>
      <c r="G935" s="32" t="str">
        <f aca="false">IF(E935="","",IFERROR(INDEX(Товары!$D$4:$D$200,MATCH(E935,Товары!$B$4:$B$200,0)),0))</f>
        <v/>
      </c>
      <c r="H935" s="29"/>
      <c r="I935" s="32" t="str">
        <f aca="false">IF(OR(E935="",F935=""),"",F935*G935-N(H935))</f>
        <v/>
      </c>
      <c r="J935" s="29"/>
      <c r="K935" s="32" t="str">
        <f aca="false">IF(AND(I935="",N(J935)=0),"",N(I935)+N(J935))</f>
        <v/>
      </c>
      <c r="L935" s="32" t="str">
        <f aca="false">IF(OR(E935="",F935=""),"",F935*IFERROR(INDEX(Товары!$C$4:$C$200,MATCH(E935,Товары!$B$4:$B$200,0)),0))</f>
        <v/>
      </c>
      <c r="M935" s="32" t="str">
        <f aca="false">IF(I935="","",I935-L935)</f>
        <v/>
      </c>
      <c r="N935" s="28"/>
      <c r="O935" s="28"/>
      <c r="P935" s="28"/>
      <c r="Q935" s="28"/>
      <c r="R935" s="35"/>
      <c r="S935" s="28"/>
    </row>
    <row r="936" customFormat="false" ht="15" hidden="false" customHeight="false" outlineLevel="0" collapsed="false">
      <c r="A936" s="34" t="str">
        <f aca="false">IF(E936="","",ROW()-3)</f>
        <v/>
      </c>
      <c r="B936" s="35"/>
      <c r="C936" s="28"/>
      <c r="D936" s="28"/>
      <c r="E936" s="28"/>
      <c r="F936" s="28"/>
      <c r="G936" s="32" t="str">
        <f aca="false">IF(E936="","",IFERROR(INDEX(Товары!$D$4:$D$200,MATCH(E936,Товары!$B$4:$B$200,0)),0))</f>
        <v/>
      </c>
      <c r="H936" s="29"/>
      <c r="I936" s="32" t="str">
        <f aca="false">IF(OR(E936="",F936=""),"",F936*G936-N(H936))</f>
        <v/>
      </c>
      <c r="J936" s="29"/>
      <c r="K936" s="32" t="str">
        <f aca="false">IF(AND(I936="",N(J936)=0),"",N(I936)+N(J936))</f>
        <v/>
      </c>
      <c r="L936" s="32" t="str">
        <f aca="false">IF(OR(E936="",F936=""),"",F936*IFERROR(INDEX(Товары!$C$4:$C$200,MATCH(E936,Товары!$B$4:$B$200,0)),0))</f>
        <v/>
      </c>
      <c r="M936" s="32" t="str">
        <f aca="false">IF(I936="","",I936-L936)</f>
        <v/>
      </c>
      <c r="N936" s="28"/>
      <c r="O936" s="28"/>
      <c r="P936" s="28"/>
      <c r="Q936" s="28"/>
      <c r="R936" s="35"/>
      <c r="S936" s="28"/>
    </row>
    <row r="937" customFormat="false" ht="15" hidden="false" customHeight="false" outlineLevel="0" collapsed="false">
      <c r="A937" s="34" t="str">
        <f aca="false">IF(E937="","",ROW()-3)</f>
        <v/>
      </c>
      <c r="B937" s="35"/>
      <c r="C937" s="28"/>
      <c r="D937" s="28"/>
      <c r="E937" s="28"/>
      <c r="F937" s="28"/>
      <c r="G937" s="32" t="str">
        <f aca="false">IF(E937="","",IFERROR(INDEX(Товары!$D$4:$D$200,MATCH(E937,Товары!$B$4:$B$200,0)),0))</f>
        <v/>
      </c>
      <c r="H937" s="29"/>
      <c r="I937" s="32" t="str">
        <f aca="false">IF(OR(E937="",F937=""),"",F937*G937-N(H937))</f>
        <v/>
      </c>
      <c r="J937" s="29"/>
      <c r="K937" s="32" t="str">
        <f aca="false">IF(AND(I937="",N(J937)=0),"",N(I937)+N(J937))</f>
        <v/>
      </c>
      <c r="L937" s="32" t="str">
        <f aca="false">IF(OR(E937="",F937=""),"",F937*IFERROR(INDEX(Товары!$C$4:$C$200,MATCH(E937,Товары!$B$4:$B$200,0)),0))</f>
        <v/>
      </c>
      <c r="M937" s="32" t="str">
        <f aca="false">IF(I937="","",I937-L937)</f>
        <v/>
      </c>
      <c r="N937" s="28"/>
      <c r="O937" s="28"/>
      <c r="P937" s="28"/>
      <c r="Q937" s="28"/>
      <c r="R937" s="35"/>
      <c r="S937" s="28"/>
    </row>
    <row r="938" customFormat="false" ht="15" hidden="false" customHeight="false" outlineLevel="0" collapsed="false">
      <c r="A938" s="34" t="str">
        <f aca="false">IF(E938="","",ROW()-3)</f>
        <v/>
      </c>
      <c r="B938" s="35"/>
      <c r="C938" s="28"/>
      <c r="D938" s="28"/>
      <c r="E938" s="28"/>
      <c r="F938" s="28"/>
      <c r="G938" s="32" t="str">
        <f aca="false">IF(E938="","",IFERROR(INDEX(Товары!$D$4:$D$200,MATCH(E938,Товары!$B$4:$B$200,0)),0))</f>
        <v/>
      </c>
      <c r="H938" s="29"/>
      <c r="I938" s="32" t="str">
        <f aca="false">IF(OR(E938="",F938=""),"",F938*G938-N(H938))</f>
        <v/>
      </c>
      <c r="J938" s="29"/>
      <c r="K938" s="32" t="str">
        <f aca="false">IF(AND(I938="",N(J938)=0),"",N(I938)+N(J938))</f>
        <v/>
      </c>
      <c r="L938" s="32" t="str">
        <f aca="false">IF(OR(E938="",F938=""),"",F938*IFERROR(INDEX(Товары!$C$4:$C$200,MATCH(E938,Товары!$B$4:$B$200,0)),0))</f>
        <v/>
      </c>
      <c r="M938" s="32" t="str">
        <f aca="false">IF(I938="","",I938-L938)</f>
        <v/>
      </c>
      <c r="N938" s="28"/>
      <c r="O938" s="28"/>
      <c r="P938" s="28"/>
      <c r="Q938" s="28"/>
      <c r="R938" s="35"/>
      <c r="S938" s="28"/>
    </row>
    <row r="939" customFormat="false" ht="15" hidden="false" customHeight="false" outlineLevel="0" collapsed="false">
      <c r="A939" s="34" t="str">
        <f aca="false">IF(E939="","",ROW()-3)</f>
        <v/>
      </c>
      <c r="B939" s="35"/>
      <c r="C939" s="28"/>
      <c r="D939" s="28"/>
      <c r="E939" s="28"/>
      <c r="F939" s="28"/>
      <c r="G939" s="32" t="str">
        <f aca="false">IF(E939="","",IFERROR(INDEX(Товары!$D$4:$D$200,MATCH(E939,Товары!$B$4:$B$200,0)),0))</f>
        <v/>
      </c>
      <c r="H939" s="29"/>
      <c r="I939" s="32" t="str">
        <f aca="false">IF(OR(E939="",F939=""),"",F939*G939-N(H939))</f>
        <v/>
      </c>
      <c r="J939" s="29"/>
      <c r="K939" s="32" t="str">
        <f aca="false">IF(AND(I939="",N(J939)=0),"",N(I939)+N(J939))</f>
        <v/>
      </c>
      <c r="L939" s="32" t="str">
        <f aca="false">IF(OR(E939="",F939=""),"",F939*IFERROR(INDEX(Товары!$C$4:$C$200,MATCH(E939,Товары!$B$4:$B$200,0)),0))</f>
        <v/>
      </c>
      <c r="M939" s="32" t="str">
        <f aca="false">IF(I939="","",I939-L939)</f>
        <v/>
      </c>
      <c r="N939" s="28"/>
      <c r="O939" s="28"/>
      <c r="P939" s="28"/>
      <c r="Q939" s="28"/>
      <c r="R939" s="35"/>
      <c r="S939" s="28"/>
    </row>
    <row r="940" customFormat="false" ht="15" hidden="false" customHeight="false" outlineLevel="0" collapsed="false">
      <c r="A940" s="34" t="str">
        <f aca="false">IF(E940="","",ROW()-3)</f>
        <v/>
      </c>
      <c r="B940" s="35"/>
      <c r="C940" s="28"/>
      <c r="D940" s="28"/>
      <c r="E940" s="28"/>
      <c r="F940" s="28"/>
      <c r="G940" s="32" t="str">
        <f aca="false">IF(E940="","",IFERROR(INDEX(Товары!$D$4:$D$200,MATCH(E940,Товары!$B$4:$B$200,0)),0))</f>
        <v/>
      </c>
      <c r="H940" s="29"/>
      <c r="I940" s="32" t="str">
        <f aca="false">IF(OR(E940="",F940=""),"",F940*G940-N(H940))</f>
        <v/>
      </c>
      <c r="J940" s="29"/>
      <c r="K940" s="32" t="str">
        <f aca="false">IF(AND(I940="",N(J940)=0),"",N(I940)+N(J940))</f>
        <v/>
      </c>
      <c r="L940" s="32" t="str">
        <f aca="false">IF(OR(E940="",F940=""),"",F940*IFERROR(INDEX(Товары!$C$4:$C$200,MATCH(E940,Товары!$B$4:$B$200,0)),0))</f>
        <v/>
      </c>
      <c r="M940" s="32" t="str">
        <f aca="false">IF(I940="","",I940-L940)</f>
        <v/>
      </c>
      <c r="N940" s="28"/>
      <c r="O940" s="28"/>
      <c r="P940" s="28"/>
      <c r="Q940" s="28"/>
      <c r="R940" s="35"/>
      <c r="S940" s="28"/>
    </row>
    <row r="941" customFormat="false" ht="15" hidden="false" customHeight="false" outlineLevel="0" collapsed="false">
      <c r="A941" s="34" t="str">
        <f aca="false">IF(E941="","",ROW()-3)</f>
        <v/>
      </c>
      <c r="B941" s="35"/>
      <c r="C941" s="28"/>
      <c r="D941" s="28"/>
      <c r="E941" s="28"/>
      <c r="F941" s="28"/>
      <c r="G941" s="32" t="str">
        <f aca="false">IF(E941="","",IFERROR(INDEX(Товары!$D$4:$D$200,MATCH(E941,Товары!$B$4:$B$200,0)),0))</f>
        <v/>
      </c>
      <c r="H941" s="29"/>
      <c r="I941" s="32" t="str">
        <f aca="false">IF(OR(E941="",F941=""),"",F941*G941-N(H941))</f>
        <v/>
      </c>
      <c r="J941" s="29"/>
      <c r="K941" s="32" t="str">
        <f aca="false">IF(AND(I941="",N(J941)=0),"",N(I941)+N(J941))</f>
        <v/>
      </c>
      <c r="L941" s="32" t="str">
        <f aca="false">IF(OR(E941="",F941=""),"",F941*IFERROR(INDEX(Товары!$C$4:$C$200,MATCH(E941,Товары!$B$4:$B$200,0)),0))</f>
        <v/>
      </c>
      <c r="M941" s="32" t="str">
        <f aca="false">IF(I941="","",I941-L941)</f>
        <v/>
      </c>
      <c r="N941" s="28"/>
      <c r="O941" s="28"/>
      <c r="P941" s="28"/>
      <c r="Q941" s="28"/>
      <c r="R941" s="35"/>
      <c r="S941" s="28"/>
    </row>
    <row r="942" customFormat="false" ht="15" hidden="false" customHeight="false" outlineLevel="0" collapsed="false">
      <c r="A942" s="34" t="str">
        <f aca="false">IF(E942="","",ROW()-3)</f>
        <v/>
      </c>
      <c r="B942" s="35"/>
      <c r="C942" s="28"/>
      <c r="D942" s="28"/>
      <c r="E942" s="28"/>
      <c r="F942" s="28"/>
      <c r="G942" s="32" t="str">
        <f aca="false">IF(E942="","",IFERROR(INDEX(Товары!$D$4:$D$200,MATCH(E942,Товары!$B$4:$B$200,0)),0))</f>
        <v/>
      </c>
      <c r="H942" s="29"/>
      <c r="I942" s="32" t="str">
        <f aca="false">IF(OR(E942="",F942=""),"",F942*G942-N(H942))</f>
        <v/>
      </c>
      <c r="J942" s="29"/>
      <c r="K942" s="32" t="str">
        <f aca="false">IF(AND(I942="",N(J942)=0),"",N(I942)+N(J942))</f>
        <v/>
      </c>
      <c r="L942" s="32" t="str">
        <f aca="false">IF(OR(E942="",F942=""),"",F942*IFERROR(INDEX(Товары!$C$4:$C$200,MATCH(E942,Товары!$B$4:$B$200,0)),0))</f>
        <v/>
      </c>
      <c r="M942" s="32" t="str">
        <f aca="false">IF(I942="","",I942-L942)</f>
        <v/>
      </c>
      <c r="N942" s="28"/>
      <c r="O942" s="28"/>
      <c r="P942" s="28"/>
      <c r="Q942" s="28"/>
      <c r="R942" s="35"/>
      <c r="S942" s="28"/>
    </row>
    <row r="943" customFormat="false" ht="15" hidden="false" customHeight="false" outlineLevel="0" collapsed="false">
      <c r="A943" s="34" t="str">
        <f aca="false">IF(E943="","",ROW()-3)</f>
        <v/>
      </c>
      <c r="B943" s="35"/>
      <c r="C943" s="28"/>
      <c r="D943" s="28"/>
      <c r="E943" s="28"/>
      <c r="F943" s="28"/>
      <c r="G943" s="32" t="str">
        <f aca="false">IF(E943="","",IFERROR(INDEX(Товары!$D$4:$D$200,MATCH(E943,Товары!$B$4:$B$200,0)),0))</f>
        <v/>
      </c>
      <c r="H943" s="29"/>
      <c r="I943" s="32" t="str">
        <f aca="false">IF(OR(E943="",F943=""),"",F943*G943-N(H943))</f>
        <v/>
      </c>
      <c r="J943" s="29"/>
      <c r="K943" s="32" t="str">
        <f aca="false">IF(AND(I943="",N(J943)=0),"",N(I943)+N(J943))</f>
        <v/>
      </c>
      <c r="L943" s="32" t="str">
        <f aca="false">IF(OR(E943="",F943=""),"",F943*IFERROR(INDEX(Товары!$C$4:$C$200,MATCH(E943,Товары!$B$4:$B$200,0)),0))</f>
        <v/>
      </c>
      <c r="M943" s="32" t="str">
        <f aca="false">IF(I943="","",I943-L943)</f>
        <v/>
      </c>
      <c r="N943" s="28"/>
      <c r="O943" s="28"/>
      <c r="P943" s="28"/>
      <c r="Q943" s="28"/>
      <c r="R943" s="35"/>
      <c r="S943" s="28"/>
    </row>
    <row r="944" customFormat="false" ht="15" hidden="false" customHeight="false" outlineLevel="0" collapsed="false">
      <c r="A944" s="34" t="str">
        <f aca="false">IF(E944="","",ROW()-3)</f>
        <v/>
      </c>
      <c r="B944" s="35"/>
      <c r="C944" s="28"/>
      <c r="D944" s="28"/>
      <c r="E944" s="28"/>
      <c r="F944" s="28"/>
      <c r="G944" s="32" t="str">
        <f aca="false">IF(E944="","",IFERROR(INDEX(Товары!$D$4:$D$200,MATCH(E944,Товары!$B$4:$B$200,0)),0))</f>
        <v/>
      </c>
      <c r="H944" s="29"/>
      <c r="I944" s="32" t="str">
        <f aca="false">IF(OR(E944="",F944=""),"",F944*G944-N(H944))</f>
        <v/>
      </c>
      <c r="J944" s="29"/>
      <c r="K944" s="32" t="str">
        <f aca="false">IF(AND(I944="",N(J944)=0),"",N(I944)+N(J944))</f>
        <v/>
      </c>
      <c r="L944" s="32" t="str">
        <f aca="false">IF(OR(E944="",F944=""),"",F944*IFERROR(INDEX(Товары!$C$4:$C$200,MATCH(E944,Товары!$B$4:$B$200,0)),0))</f>
        <v/>
      </c>
      <c r="M944" s="32" t="str">
        <f aca="false">IF(I944="","",I944-L944)</f>
        <v/>
      </c>
      <c r="N944" s="28"/>
      <c r="O944" s="28"/>
      <c r="P944" s="28"/>
      <c r="Q944" s="28"/>
      <c r="R944" s="35"/>
      <c r="S944" s="28"/>
    </row>
    <row r="945" customFormat="false" ht="15" hidden="false" customHeight="false" outlineLevel="0" collapsed="false">
      <c r="A945" s="34" t="str">
        <f aca="false">IF(E945="","",ROW()-3)</f>
        <v/>
      </c>
      <c r="B945" s="35"/>
      <c r="C945" s="28"/>
      <c r="D945" s="28"/>
      <c r="E945" s="28"/>
      <c r="F945" s="28"/>
      <c r="G945" s="32" t="str">
        <f aca="false">IF(E945="","",IFERROR(INDEX(Товары!$D$4:$D$200,MATCH(E945,Товары!$B$4:$B$200,0)),0))</f>
        <v/>
      </c>
      <c r="H945" s="29"/>
      <c r="I945" s="32" t="str">
        <f aca="false">IF(OR(E945="",F945=""),"",F945*G945-N(H945))</f>
        <v/>
      </c>
      <c r="J945" s="29"/>
      <c r="K945" s="32" t="str">
        <f aca="false">IF(AND(I945="",N(J945)=0),"",N(I945)+N(J945))</f>
        <v/>
      </c>
      <c r="L945" s="32" t="str">
        <f aca="false">IF(OR(E945="",F945=""),"",F945*IFERROR(INDEX(Товары!$C$4:$C$200,MATCH(E945,Товары!$B$4:$B$200,0)),0))</f>
        <v/>
      </c>
      <c r="M945" s="32" t="str">
        <f aca="false">IF(I945="","",I945-L945)</f>
        <v/>
      </c>
      <c r="N945" s="28"/>
      <c r="O945" s="28"/>
      <c r="P945" s="28"/>
      <c r="Q945" s="28"/>
      <c r="R945" s="35"/>
      <c r="S945" s="28"/>
    </row>
    <row r="946" customFormat="false" ht="15" hidden="false" customHeight="false" outlineLevel="0" collapsed="false">
      <c r="A946" s="34" t="str">
        <f aca="false">IF(E946="","",ROW()-3)</f>
        <v/>
      </c>
      <c r="B946" s="35"/>
      <c r="C946" s="28"/>
      <c r="D946" s="28"/>
      <c r="E946" s="28"/>
      <c r="F946" s="28"/>
      <c r="G946" s="32" t="str">
        <f aca="false">IF(E946="","",IFERROR(INDEX(Товары!$D$4:$D$200,MATCH(E946,Товары!$B$4:$B$200,0)),0))</f>
        <v/>
      </c>
      <c r="H946" s="29"/>
      <c r="I946" s="32" t="str">
        <f aca="false">IF(OR(E946="",F946=""),"",F946*G946-N(H946))</f>
        <v/>
      </c>
      <c r="J946" s="29"/>
      <c r="K946" s="32" t="str">
        <f aca="false">IF(AND(I946="",N(J946)=0),"",N(I946)+N(J946))</f>
        <v/>
      </c>
      <c r="L946" s="32" t="str">
        <f aca="false">IF(OR(E946="",F946=""),"",F946*IFERROR(INDEX(Товары!$C$4:$C$200,MATCH(E946,Товары!$B$4:$B$200,0)),0))</f>
        <v/>
      </c>
      <c r="M946" s="32" t="str">
        <f aca="false">IF(I946="","",I946-L946)</f>
        <v/>
      </c>
      <c r="N946" s="28"/>
      <c r="O946" s="28"/>
      <c r="P946" s="28"/>
      <c r="Q946" s="28"/>
      <c r="R946" s="35"/>
      <c r="S946" s="28"/>
    </row>
    <row r="947" customFormat="false" ht="15" hidden="false" customHeight="false" outlineLevel="0" collapsed="false">
      <c r="A947" s="34" t="str">
        <f aca="false">IF(E947="","",ROW()-3)</f>
        <v/>
      </c>
      <c r="B947" s="35"/>
      <c r="C947" s="28"/>
      <c r="D947" s="28"/>
      <c r="E947" s="28"/>
      <c r="F947" s="28"/>
      <c r="G947" s="32" t="str">
        <f aca="false">IF(E947="","",IFERROR(INDEX(Товары!$D$4:$D$200,MATCH(E947,Товары!$B$4:$B$200,0)),0))</f>
        <v/>
      </c>
      <c r="H947" s="29"/>
      <c r="I947" s="32" t="str">
        <f aca="false">IF(OR(E947="",F947=""),"",F947*G947-N(H947))</f>
        <v/>
      </c>
      <c r="J947" s="29"/>
      <c r="K947" s="32" t="str">
        <f aca="false">IF(AND(I947="",N(J947)=0),"",N(I947)+N(J947))</f>
        <v/>
      </c>
      <c r="L947" s="32" t="str">
        <f aca="false">IF(OR(E947="",F947=""),"",F947*IFERROR(INDEX(Товары!$C$4:$C$200,MATCH(E947,Товары!$B$4:$B$200,0)),0))</f>
        <v/>
      </c>
      <c r="M947" s="32" t="str">
        <f aca="false">IF(I947="","",I947-L947)</f>
        <v/>
      </c>
      <c r="N947" s="28"/>
      <c r="O947" s="28"/>
      <c r="P947" s="28"/>
      <c r="Q947" s="28"/>
      <c r="R947" s="35"/>
      <c r="S947" s="28"/>
    </row>
    <row r="948" customFormat="false" ht="15" hidden="false" customHeight="false" outlineLevel="0" collapsed="false">
      <c r="A948" s="34" t="str">
        <f aca="false">IF(E948="","",ROW()-3)</f>
        <v/>
      </c>
      <c r="B948" s="35"/>
      <c r="C948" s="28"/>
      <c r="D948" s="28"/>
      <c r="E948" s="28"/>
      <c r="F948" s="28"/>
      <c r="G948" s="32" t="str">
        <f aca="false">IF(E948="","",IFERROR(INDEX(Товары!$D$4:$D$200,MATCH(E948,Товары!$B$4:$B$200,0)),0))</f>
        <v/>
      </c>
      <c r="H948" s="29"/>
      <c r="I948" s="32" t="str">
        <f aca="false">IF(OR(E948="",F948=""),"",F948*G948-N(H948))</f>
        <v/>
      </c>
      <c r="J948" s="29"/>
      <c r="K948" s="32" t="str">
        <f aca="false">IF(AND(I948="",N(J948)=0),"",N(I948)+N(J948))</f>
        <v/>
      </c>
      <c r="L948" s="32" t="str">
        <f aca="false">IF(OR(E948="",F948=""),"",F948*IFERROR(INDEX(Товары!$C$4:$C$200,MATCH(E948,Товары!$B$4:$B$200,0)),0))</f>
        <v/>
      </c>
      <c r="M948" s="32" t="str">
        <f aca="false">IF(I948="","",I948-L948)</f>
        <v/>
      </c>
      <c r="N948" s="28"/>
      <c r="O948" s="28"/>
      <c r="P948" s="28"/>
      <c r="Q948" s="28"/>
      <c r="R948" s="35"/>
      <c r="S948" s="28"/>
    </row>
    <row r="949" customFormat="false" ht="15" hidden="false" customHeight="false" outlineLevel="0" collapsed="false">
      <c r="A949" s="34" t="str">
        <f aca="false">IF(E949="","",ROW()-3)</f>
        <v/>
      </c>
      <c r="B949" s="35"/>
      <c r="C949" s="28"/>
      <c r="D949" s="28"/>
      <c r="E949" s="28"/>
      <c r="F949" s="28"/>
      <c r="G949" s="32" t="str">
        <f aca="false">IF(E949="","",IFERROR(INDEX(Товары!$D$4:$D$200,MATCH(E949,Товары!$B$4:$B$200,0)),0))</f>
        <v/>
      </c>
      <c r="H949" s="29"/>
      <c r="I949" s="32" t="str">
        <f aca="false">IF(OR(E949="",F949=""),"",F949*G949-N(H949))</f>
        <v/>
      </c>
      <c r="J949" s="29"/>
      <c r="K949" s="32" t="str">
        <f aca="false">IF(AND(I949="",N(J949)=0),"",N(I949)+N(J949))</f>
        <v/>
      </c>
      <c r="L949" s="32" t="str">
        <f aca="false">IF(OR(E949="",F949=""),"",F949*IFERROR(INDEX(Товары!$C$4:$C$200,MATCH(E949,Товары!$B$4:$B$200,0)),0))</f>
        <v/>
      </c>
      <c r="M949" s="32" t="str">
        <f aca="false">IF(I949="","",I949-L949)</f>
        <v/>
      </c>
      <c r="N949" s="28"/>
      <c r="O949" s="28"/>
      <c r="P949" s="28"/>
      <c r="Q949" s="28"/>
      <c r="R949" s="35"/>
      <c r="S949" s="28"/>
    </row>
    <row r="950" customFormat="false" ht="15" hidden="false" customHeight="false" outlineLevel="0" collapsed="false">
      <c r="A950" s="34" t="str">
        <f aca="false">IF(E950="","",ROW()-3)</f>
        <v/>
      </c>
      <c r="B950" s="35"/>
      <c r="C950" s="28"/>
      <c r="D950" s="28"/>
      <c r="E950" s="28"/>
      <c r="F950" s="28"/>
      <c r="G950" s="32" t="str">
        <f aca="false">IF(E950="","",IFERROR(INDEX(Товары!$D$4:$D$200,MATCH(E950,Товары!$B$4:$B$200,0)),0))</f>
        <v/>
      </c>
      <c r="H950" s="29"/>
      <c r="I950" s="32" t="str">
        <f aca="false">IF(OR(E950="",F950=""),"",F950*G950-N(H950))</f>
        <v/>
      </c>
      <c r="J950" s="29"/>
      <c r="K950" s="32" t="str">
        <f aca="false">IF(AND(I950="",N(J950)=0),"",N(I950)+N(J950))</f>
        <v/>
      </c>
      <c r="L950" s="32" t="str">
        <f aca="false">IF(OR(E950="",F950=""),"",F950*IFERROR(INDEX(Товары!$C$4:$C$200,MATCH(E950,Товары!$B$4:$B$200,0)),0))</f>
        <v/>
      </c>
      <c r="M950" s="32" t="str">
        <f aca="false">IF(I950="","",I950-L950)</f>
        <v/>
      </c>
      <c r="N950" s="28"/>
      <c r="O950" s="28"/>
      <c r="P950" s="28"/>
      <c r="Q950" s="28"/>
      <c r="R950" s="35"/>
      <c r="S950" s="28"/>
    </row>
    <row r="951" customFormat="false" ht="15" hidden="false" customHeight="false" outlineLevel="0" collapsed="false">
      <c r="A951" s="34" t="str">
        <f aca="false">IF(E951="","",ROW()-3)</f>
        <v/>
      </c>
      <c r="B951" s="35"/>
      <c r="C951" s="28"/>
      <c r="D951" s="28"/>
      <c r="E951" s="28"/>
      <c r="F951" s="28"/>
      <c r="G951" s="32" t="str">
        <f aca="false">IF(E951="","",IFERROR(INDEX(Товары!$D$4:$D$200,MATCH(E951,Товары!$B$4:$B$200,0)),0))</f>
        <v/>
      </c>
      <c r="H951" s="29"/>
      <c r="I951" s="32" t="str">
        <f aca="false">IF(OR(E951="",F951=""),"",F951*G951-N(H951))</f>
        <v/>
      </c>
      <c r="J951" s="29"/>
      <c r="K951" s="32" t="str">
        <f aca="false">IF(AND(I951="",N(J951)=0),"",N(I951)+N(J951))</f>
        <v/>
      </c>
      <c r="L951" s="32" t="str">
        <f aca="false">IF(OR(E951="",F951=""),"",F951*IFERROR(INDEX(Товары!$C$4:$C$200,MATCH(E951,Товары!$B$4:$B$200,0)),0))</f>
        <v/>
      </c>
      <c r="M951" s="32" t="str">
        <f aca="false">IF(I951="","",I951-L951)</f>
        <v/>
      </c>
      <c r="N951" s="28"/>
      <c r="O951" s="28"/>
      <c r="P951" s="28"/>
      <c r="Q951" s="28"/>
      <c r="R951" s="35"/>
      <c r="S951" s="28"/>
    </row>
    <row r="952" customFormat="false" ht="15" hidden="false" customHeight="false" outlineLevel="0" collapsed="false">
      <c r="A952" s="34" t="str">
        <f aca="false">IF(E952="","",ROW()-3)</f>
        <v/>
      </c>
      <c r="B952" s="35"/>
      <c r="C952" s="28"/>
      <c r="D952" s="28"/>
      <c r="E952" s="28"/>
      <c r="F952" s="28"/>
      <c r="G952" s="32" t="str">
        <f aca="false">IF(E952="","",IFERROR(INDEX(Товары!$D$4:$D$200,MATCH(E952,Товары!$B$4:$B$200,0)),0))</f>
        <v/>
      </c>
      <c r="H952" s="29"/>
      <c r="I952" s="32" t="str">
        <f aca="false">IF(OR(E952="",F952=""),"",F952*G952-N(H952))</f>
        <v/>
      </c>
      <c r="J952" s="29"/>
      <c r="K952" s="32" t="str">
        <f aca="false">IF(AND(I952="",N(J952)=0),"",N(I952)+N(J952))</f>
        <v/>
      </c>
      <c r="L952" s="32" t="str">
        <f aca="false">IF(OR(E952="",F952=""),"",F952*IFERROR(INDEX(Товары!$C$4:$C$200,MATCH(E952,Товары!$B$4:$B$200,0)),0))</f>
        <v/>
      </c>
      <c r="M952" s="32" t="str">
        <f aca="false">IF(I952="","",I952-L952)</f>
        <v/>
      </c>
      <c r="N952" s="28"/>
      <c r="O952" s="28"/>
      <c r="P952" s="28"/>
      <c r="Q952" s="28"/>
      <c r="R952" s="35"/>
      <c r="S952" s="28"/>
    </row>
    <row r="953" customFormat="false" ht="15" hidden="false" customHeight="false" outlineLevel="0" collapsed="false">
      <c r="A953" s="34" t="str">
        <f aca="false">IF(E953="","",ROW()-3)</f>
        <v/>
      </c>
      <c r="B953" s="35"/>
      <c r="C953" s="28"/>
      <c r="D953" s="28"/>
      <c r="E953" s="28"/>
      <c r="F953" s="28"/>
      <c r="G953" s="32" t="str">
        <f aca="false">IF(E953="","",IFERROR(INDEX(Товары!$D$4:$D$200,MATCH(E953,Товары!$B$4:$B$200,0)),0))</f>
        <v/>
      </c>
      <c r="H953" s="29"/>
      <c r="I953" s="32" t="str">
        <f aca="false">IF(OR(E953="",F953=""),"",F953*G953-N(H953))</f>
        <v/>
      </c>
      <c r="J953" s="29"/>
      <c r="K953" s="32" t="str">
        <f aca="false">IF(AND(I953="",N(J953)=0),"",N(I953)+N(J953))</f>
        <v/>
      </c>
      <c r="L953" s="32" t="str">
        <f aca="false">IF(OR(E953="",F953=""),"",F953*IFERROR(INDEX(Товары!$C$4:$C$200,MATCH(E953,Товары!$B$4:$B$200,0)),0))</f>
        <v/>
      </c>
      <c r="M953" s="32" t="str">
        <f aca="false">IF(I953="","",I953-L953)</f>
        <v/>
      </c>
      <c r="N953" s="28"/>
      <c r="O953" s="28"/>
      <c r="P953" s="28"/>
      <c r="Q953" s="28"/>
      <c r="R953" s="35"/>
      <c r="S953" s="28"/>
    </row>
    <row r="954" customFormat="false" ht="15" hidden="false" customHeight="false" outlineLevel="0" collapsed="false">
      <c r="A954" s="34" t="str">
        <f aca="false">IF(E954="","",ROW()-3)</f>
        <v/>
      </c>
      <c r="B954" s="35"/>
      <c r="C954" s="28"/>
      <c r="D954" s="28"/>
      <c r="E954" s="28"/>
      <c r="F954" s="28"/>
      <c r="G954" s="32" t="str">
        <f aca="false">IF(E954="","",IFERROR(INDEX(Товары!$D$4:$D$200,MATCH(E954,Товары!$B$4:$B$200,0)),0))</f>
        <v/>
      </c>
      <c r="H954" s="29"/>
      <c r="I954" s="32" t="str">
        <f aca="false">IF(OR(E954="",F954=""),"",F954*G954-N(H954))</f>
        <v/>
      </c>
      <c r="J954" s="29"/>
      <c r="K954" s="32" t="str">
        <f aca="false">IF(AND(I954="",N(J954)=0),"",N(I954)+N(J954))</f>
        <v/>
      </c>
      <c r="L954" s="32" t="str">
        <f aca="false">IF(OR(E954="",F954=""),"",F954*IFERROR(INDEX(Товары!$C$4:$C$200,MATCH(E954,Товары!$B$4:$B$200,0)),0))</f>
        <v/>
      </c>
      <c r="M954" s="32" t="str">
        <f aca="false">IF(I954="","",I954-L954)</f>
        <v/>
      </c>
      <c r="N954" s="28"/>
      <c r="O954" s="28"/>
      <c r="P954" s="28"/>
      <c r="Q954" s="28"/>
      <c r="R954" s="35"/>
      <c r="S954" s="28"/>
    </row>
    <row r="955" customFormat="false" ht="15" hidden="false" customHeight="false" outlineLevel="0" collapsed="false">
      <c r="A955" s="34" t="str">
        <f aca="false">IF(E955="","",ROW()-3)</f>
        <v/>
      </c>
      <c r="B955" s="35"/>
      <c r="C955" s="28"/>
      <c r="D955" s="28"/>
      <c r="E955" s="28"/>
      <c r="F955" s="28"/>
      <c r="G955" s="32" t="str">
        <f aca="false">IF(E955="","",IFERROR(INDEX(Товары!$D$4:$D$200,MATCH(E955,Товары!$B$4:$B$200,0)),0))</f>
        <v/>
      </c>
      <c r="H955" s="29"/>
      <c r="I955" s="32" t="str">
        <f aca="false">IF(OR(E955="",F955=""),"",F955*G955-N(H955))</f>
        <v/>
      </c>
      <c r="J955" s="29"/>
      <c r="K955" s="32" t="str">
        <f aca="false">IF(AND(I955="",N(J955)=0),"",N(I955)+N(J955))</f>
        <v/>
      </c>
      <c r="L955" s="32" t="str">
        <f aca="false">IF(OR(E955="",F955=""),"",F955*IFERROR(INDEX(Товары!$C$4:$C$200,MATCH(E955,Товары!$B$4:$B$200,0)),0))</f>
        <v/>
      </c>
      <c r="M955" s="32" t="str">
        <f aca="false">IF(I955="","",I955-L955)</f>
        <v/>
      </c>
      <c r="N955" s="28"/>
      <c r="O955" s="28"/>
      <c r="P955" s="28"/>
      <c r="Q955" s="28"/>
      <c r="R955" s="35"/>
      <c r="S955" s="28"/>
    </row>
    <row r="956" customFormat="false" ht="15" hidden="false" customHeight="false" outlineLevel="0" collapsed="false">
      <c r="A956" s="34" t="str">
        <f aca="false">IF(E956="","",ROW()-3)</f>
        <v/>
      </c>
      <c r="B956" s="35"/>
      <c r="C956" s="28"/>
      <c r="D956" s="28"/>
      <c r="E956" s="28"/>
      <c r="F956" s="28"/>
      <c r="G956" s="32" t="str">
        <f aca="false">IF(E956="","",IFERROR(INDEX(Товары!$D$4:$D$200,MATCH(E956,Товары!$B$4:$B$200,0)),0))</f>
        <v/>
      </c>
      <c r="H956" s="29"/>
      <c r="I956" s="32" t="str">
        <f aca="false">IF(OR(E956="",F956=""),"",F956*G956-N(H956))</f>
        <v/>
      </c>
      <c r="J956" s="29"/>
      <c r="K956" s="32" t="str">
        <f aca="false">IF(AND(I956="",N(J956)=0),"",N(I956)+N(J956))</f>
        <v/>
      </c>
      <c r="L956" s="32" t="str">
        <f aca="false">IF(OR(E956="",F956=""),"",F956*IFERROR(INDEX(Товары!$C$4:$C$200,MATCH(E956,Товары!$B$4:$B$200,0)),0))</f>
        <v/>
      </c>
      <c r="M956" s="32" t="str">
        <f aca="false">IF(I956="","",I956-L956)</f>
        <v/>
      </c>
      <c r="N956" s="28"/>
      <c r="O956" s="28"/>
      <c r="P956" s="28"/>
      <c r="Q956" s="28"/>
      <c r="R956" s="35"/>
      <c r="S956" s="28"/>
    </row>
    <row r="957" customFormat="false" ht="15" hidden="false" customHeight="false" outlineLevel="0" collapsed="false">
      <c r="A957" s="34" t="str">
        <f aca="false">IF(E957="","",ROW()-3)</f>
        <v/>
      </c>
      <c r="B957" s="35"/>
      <c r="C957" s="28"/>
      <c r="D957" s="28"/>
      <c r="E957" s="28"/>
      <c r="F957" s="28"/>
      <c r="G957" s="32" t="str">
        <f aca="false">IF(E957="","",IFERROR(INDEX(Товары!$D$4:$D$200,MATCH(E957,Товары!$B$4:$B$200,0)),0))</f>
        <v/>
      </c>
      <c r="H957" s="29"/>
      <c r="I957" s="32" t="str">
        <f aca="false">IF(OR(E957="",F957=""),"",F957*G957-N(H957))</f>
        <v/>
      </c>
      <c r="J957" s="29"/>
      <c r="K957" s="32" t="str">
        <f aca="false">IF(AND(I957="",N(J957)=0),"",N(I957)+N(J957))</f>
        <v/>
      </c>
      <c r="L957" s="32" t="str">
        <f aca="false">IF(OR(E957="",F957=""),"",F957*IFERROR(INDEX(Товары!$C$4:$C$200,MATCH(E957,Товары!$B$4:$B$200,0)),0))</f>
        <v/>
      </c>
      <c r="M957" s="32" t="str">
        <f aca="false">IF(I957="","",I957-L957)</f>
        <v/>
      </c>
      <c r="N957" s="28"/>
      <c r="O957" s="28"/>
      <c r="P957" s="28"/>
      <c r="Q957" s="28"/>
      <c r="R957" s="35"/>
      <c r="S957" s="28"/>
    </row>
    <row r="958" customFormat="false" ht="15" hidden="false" customHeight="false" outlineLevel="0" collapsed="false">
      <c r="A958" s="34" t="str">
        <f aca="false">IF(E958="","",ROW()-3)</f>
        <v/>
      </c>
      <c r="B958" s="35"/>
      <c r="C958" s="28"/>
      <c r="D958" s="28"/>
      <c r="E958" s="28"/>
      <c r="F958" s="28"/>
      <c r="G958" s="32" t="str">
        <f aca="false">IF(E958="","",IFERROR(INDEX(Товары!$D$4:$D$200,MATCH(E958,Товары!$B$4:$B$200,0)),0))</f>
        <v/>
      </c>
      <c r="H958" s="29"/>
      <c r="I958" s="32" t="str">
        <f aca="false">IF(OR(E958="",F958=""),"",F958*G958-N(H958))</f>
        <v/>
      </c>
      <c r="J958" s="29"/>
      <c r="K958" s="32" t="str">
        <f aca="false">IF(AND(I958="",N(J958)=0),"",N(I958)+N(J958))</f>
        <v/>
      </c>
      <c r="L958" s="32" t="str">
        <f aca="false">IF(OR(E958="",F958=""),"",F958*IFERROR(INDEX(Товары!$C$4:$C$200,MATCH(E958,Товары!$B$4:$B$200,0)),0))</f>
        <v/>
      </c>
      <c r="M958" s="32" t="str">
        <f aca="false">IF(I958="","",I958-L958)</f>
        <v/>
      </c>
      <c r="N958" s="28"/>
      <c r="O958" s="28"/>
      <c r="P958" s="28"/>
      <c r="Q958" s="28"/>
      <c r="R958" s="35"/>
      <c r="S958" s="28"/>
    </row>
    <row r="959" customFormat="false" ht="15" hidden="false" customHeight="false" outlineLevel="0" collapsed="false">
      <c r="A959" s="34" t="str">
        <f aca="false">IF(E959="","",ROW()-3)</f>
        <v/>
      </c>
      <c r="B959" s="35"/>
      <c r="C959" s="28"/>
      <c r="D959" s="28"/>
      <c r="E959" s="28"/>
      <c r="F959" s="28"/>
      <c r="G959" s="32" t="str">
        <f aca="false">IF(E959="","",IFERROR(INDEX(Товары!$D$4:$D$200,MATCH(E959,Товары!$B$4:$B$200,0)),0))</f>
        <v/>
      </c>
      <c r="H959" s="29"/>
      <c r="I959" s="32" t="str">
        <f aca="false">IF(OR(E959="",F959=""),"",F959*G959-N(H959))</f>
        <v/>
      </c>
      <c r="J959" s="29"/>
      <c r="K959" s="32" t="str">
        <f aca="false">IF(AND(I959="",N(J959)=0),"",N(I959)+N(J959))</f>
        <v/>
      </c>
      <c r="L959" s="32" t="str">
        <f aca="false">IF(OR(E959="",F959=""),"",F959*IFERROR(INDEX(Товары!$C$4:$C$200,MATCH(E959,Товары!$B$4:$B$200,0)),0))</f>
        <v/>
      </c>
      <c r="M959" s="32" t="str">
        <f aca="false">IF(I959="","",I959-L959)</f>
        <v/>
      </c>
      <c r="N959" s="28"/>
      <c r="O959" s="28"/>
      <c r="P959" s="28"/>
      <c r="Q959" s="28"/>
      <c r="R959" s="35"/>
      <c r="S959" s="28"/>
    </row>
    <row r="960" customFormat="false" ht="15" hidden="false" customHeight="false" outlineLevel="0" collapsed="false">
      <c r="A960" s="34" t="str">
        <f aca="false">IF(E960="","",ROW()-3)</f>
        <v/>
      </c>
      <c r="B960" s="35"/>
      <c r="C960" s="28"/>
      <c r="D960" s="28"/>
      <c r="E960" s="28"/>
      <c r="F960" s="28"/>
      <c r="G960" s="32" t="str">
        <f aca="false">IF(E960="","",IFERROR(INDEX(Товары!$D$4:$D$200,MATCH(E960,Товары!$B$4:$B$200,0)),0))</f>
        <v/>
      </c>
      <c r="H960" s="29"/>
      <c r="I960" s="32" t="str">
        <f aca="false">IF(OR(E960="",F960=""),"",F960*G960-N(H960))</f>
        <v/>
      </c>
      <c r="J960" s="29"/>
      <c r="K960" s="32" t="str">
        <f aca="false">IF(AND(I960="",N(J960)=0),"",N(I960)+N(J960))</f>
        <v/>
      </c>
      <c r="L960" s="32" t="str">
        <f aca="false">IF(OR(E960="",F960=""),"",F960*IFERROR(INDEX(Товары!$C$4:$C$200,MATCH(E960,Товары!$B$4:$B$200,0)),0))</f>
        <v/>
      </c>
      <c r="M960" s="32" t="str">
        <f aca="false">IF(I960="","",I960-L960)</f>
        <v/>
      </c>
      <c r="N960" s="28"/>
      <c r="O960" s="28"/>
      <c r="P960" s="28"/>
      <c r="Q960" s="28"/>
      <c r="R960" s="35"/>
      <c r="S960" s="28"/>
    </row>
    <row r="961" customFormat="false" ht="15" hidden="false" customHeight="false" outlineLevel="0" collapsed="false">
      <c r="A961" s="34" t="str">
        <f aca="false">IF(E961="","",ROW()-3)</f>
        <v/>
      </c>
      <c r="B961" s="35"/>
      <c r="C961" s="28"/>
      <c r="D961" s="28"/>
      <c r="E961" s="28"/>
      <c r="F961" s="28"/>
      <c r="G961" s="32" t="str">
        <f aca="false">IF(E961="","",IFERROR(INDEX(Товары!$D$4:$D$200,MATCH(E961,Товары!$B$4:$B$200,0)),0))</f>
        <v/>
      </c>
      <c r="H961" s="29"/>
      <c r="I961" s="32" t="str">
        <f aca="false">IF(OR(E961="",F961=""),"",F961*G961-N(H961))</f>
        <v/>
      </c>
      <c r="J961" s="29"/>
      <c r="K961" s="32" t="str">
        <f aca="false">IF(AND(I961="",N(J961)=0),"",N(I961)+N(J961))</f>
        <v/>
      </c>
      <c r="L961" s="32" t="str">
        <f aca="false">IF(OR(E961="",F961=""),"",F961*IFERROR(INDEX(Товары!$C$4:$C$200,MATCH(E961,Товары!$B$4:$B$200,0)),0))</f>
        <v/>
      </c>
      <c r="M961" s="32" t="str">
        <f aca="false">IF(I961="","",I961-L961)</f>
        <v/>
      </c>
      <c r="N961" s="28"/>
      <c r="O961" s="28"/>
      <c r="P961" s="28"/>
      <c r="Q961" s="28"/>
      <c r="R961" s="35"/>
      <c r="S961" s="28"/>
    </row>
    <row r="962" customFormat="false" ht="15" hidden="false" customHeight="false" outlineLevel="0" collapsed="false">
      <c r="A962" s="34" t="str">
        <f aca="false">IF(E962="","",ROW()-3)</f>
        <v/>
      </c>
      <c r="B962" s="35"/>
      <c r="C962" s="28"/>
      <c r="D962" s="28"/>
      <c r="E962" s="28"/>
      <c r="F962" s="28"/>
      <c r="G962" s="32" t="str">
        <f aca="false">IF(E962="","",IFERROR(INDEX(Товары!$D$4:$D$200,MATCH(E962,Товары!$B$4:$B$200,0)),0))</f>
        <v/>
      </c>
      <c r="H962" s="29"/>
      <c r="I962" s="32" t="str">
        <f aca="false">IF(OR(E962="",F962=""),"",F962*G962-N(H962))</f>
        <v/>
      </c>
      <c r="J962" s="29"/>
      <c r="K962" s="32" t="str">
        <f aca="false">IF(AND(I962="",N(J962)=0),"",N(I962)+N(J962))</f>
        <v/>
      </c>
      <c r="L962" s="32" t="str">
        <f aca="false">IF(OR(E962="",F962=""),"",F962*IFERROR(INDEX(Товары!$C$4:$C$200,MATCH(E962,Товары!$B$4:$B$200,0)),0))</f>
        <v/>
      </c>
      <c r="M962" s="32" t="str">
        <f aca="false">IF(I962="","",I962-L962)</f>
        <v/>
      </c>
      <c r="N962" s="28"/>
      <c r="O962" s="28"/>
      <c r="P962" s="28"/>
      <c r="Q962" s="28"/>
      <c r="R962" s="35"/>
      <c r="S962" s="28"/>
    </row>
    <row r="963" customFormat="false" ht="15" hidden="false" customHeight="false" outlineLevel="0" collapsed="false">
      <c r="A963" s="34" t="str">
        <f aca="false">IF(E963="","",ROW()-3)</f>
        <v/>
      </c>
      <c r="B963" s="35"/>
      <c r="C963" s="28"/>
      <c r="D963" s="28"/>
      <c r="E963" s="28"/>
      <c r="F963" s="28"/>
      <c r="G963" s="32" t="str">
        <f aca="false">IF(E963="","",IFERROR(INDEX(Товары!$D$4:$D$200,MATCH(E963,Товары!$B$4:$B$200,0)),0))</f>
        <v/>
      </c>
      <c r="H963" s="29"/>
      <c r="I963" s="32" t="str">
        <f aca="false">IF(OR(E963="",F963=""),"",F963*G963-N(H963))</f>
        <v/>
      </c>
      <c r="J963" s="29"/>
      <c r="K963" s="32" t="str">
        <f aca="false">IF(AND(I963="",N(J963)=0),"",N(I963)+N(J963))</f>
        <v/>
      </c>
      <c r="L963" s="32" t="str">
        <f aca="false">IF(OR(E963="",F963=""),"",F963*IFERROR(INDEX(Товары!$C$4:$C$200,MATCH(E963,Товары!$B$4:$B$200,0)),0))</f>
        <v/>
      </c>
      <c r="M963" s="32" t="str">
        <f aca="false">IF(I963="","",I963-L963)</f>
        <v/>
      </c>
      <c r="N963" s="28"/>
      <c r="O963" s="28"/>
      <c r="P963" s="28"/>
      <c r="Q963" s="28"/>
      <c r="R963" s="35"/>
      <c r="S963" s="28"/>
    </row>
    <row r="964" customFormat="false" ht="15" hidden="false" customHeight="false" outlineLevel="0" collapsed="false">
      <c r="A964" s="34" t="str">
        <f aca="false">IF(E964="","",ROW()-3)</f>
        <v/>
      </c>
      <c r="B964" s="35"/>
      <c r="C964" s="28"/>
      <c r="D964" s="28"/>
      <c r="E964" s="28"/>
      <c r="F964" s="28"/>
      <c r="G964" s="32" t="str">
        <f aca="false">IF(E964="","",IFERROR(INDEX(Товары!$D$4:$D$200,MATCH(E964,Товары!$B$4:$B$200,0)),0))</f>
        <v/>
      </c>
      <c r="H964" s="29"/>
      <c r="I964" s="32" t="str">
        <f aca="false">IF(OR(E964="",F964=""),"",F964*G964-N(H964))</f>
        <v/>
      </c>
      <c r="J964" s="29"/>
      <c r="K964" s="32" t="str">
        <f aca="false">IF(AND(I964="",N(J964)=0),"",N(I964)+N(J964))</f>
        <v/>
      </c>
      <c r="L964" s="32" t="str">
        <f aca="false">IF(OR(E964="",F964=""),"",F964*IFERROR(INDEX(Товары!$C$4:$C$200,MATCH(E964,Товары!$B$4:$B$200,0)),0))</f>
        <v/>
      </c>
      <c r="M964" s="32" t="str">
        <f aca="false">IF(I964="","",I964-L964)</f>
        <v/>
      </c>
      <c r="N964" s="28"/>
      <c r="O964" s="28"/>
      <c r="P964" s="28"/>
      <c r="Q964" s="28"/>
      <c r="R964" s="35"/>
      <c r="S964" s="28"/>
    </row>
    <row r="965" customFormat="false" ht="15" hidden="false" customHeight="false" outlineLevel="0" collapsed="false">
      <c r="A965" s="34" t="str">
        <f aca="false">IF(E965="","",ROW()-3)</f>
        <v/>
      </c>
      <c r="B965" s="35"/>
      <c r="C965" s="28"/>
      <c r="D965" s="28"/>
      <c r="E965" s="28"/>
      <c r="F965" s="28"/>
      <c r="G965" s="32" t="str">
        <f aca="false">IF(E965="","",IFERROR(INDEX(Товары!$D$4:$D$200,MATCH(E965,Товары!$B$4:$B$200,0)),0))</f>
        <v/>
      </c>
      <c r="H965" s="29"/>
      <c r="I965" s="32" t="str">
        <f aca="false">IF(OR(E965="",F965=""),"",F965*G965-N(H965))</f>
        <v/>
      </c>
      <c r="J965" s="29"/>
      <c r="K965" s="32" t="str">
        <f aca="false">IF(AND(I965="",N(J965)=0),"",N(I965)+N(J965))</f>
        <v/>
      </c>
      <c r="L965" s="32" t="str">
        <f aca="false">IF(OR(E965="",F965=""),"",F965*IFERROR(INDEX(Товары!$C$4:$C$200,MATCH(E965,Товары!$B$4:$B$200,0)),0))</f>
        <v/>
      </c>
      <c r="M965" s="32" t="str">
        <f aca="false">IF(I965="","",I965-L965)</f>
        <v/>
      </c>
      <c r="N965" s="28"/>
      <c r="O965" s="28"/>
      <c r="P965" s="28"/>
      <c r="Q965" s="28"/>
      <c r="R965" s="35"/>
      <c r="S965" s="28"/>
    </row>
    <row r="966" customFormat="false" ht="15" hidden="false" customHeight="false" outlineLevel="0" collapsed="false">
      <c r="A966" s="34" t="str">
        <f aca="false">IF(E966="","",ROW()-3)</f>
        <v/>
      </c>
      <c r="B966" s="35"/>
      <c r="C966" s="28"/>
      <c r="D966" s="28"/>
      <c r="E966" s="28"/>
      <c r="F966" s="28"/>
      <c r="G966" s="32" t="str">
        <f aca="false">IF(E966="","",IFERROR(INDEX(Товары!$D$4:$D$200,MATCH(E966,Товары!$B$4:$B$200,0)),0))</f>
        <v/>
      </c>
      <c r="H966" s="29"/>
      <c r="I966" s="32" t="str">
        <f aca="false">IF(OR(E966="",F966=""),"",F966*G966-N(H966))</f>
        <v/>
      </c>
      <c r="J966" s="29"/>
      <c r="K966" s="32" t="str">
        <f aca="false">IF(AND(I966="",N(J966)=0),"",N(I966)+N(J966))</f>
        <v/>
      </c>
      <c r="L966" s="32" t="str">
        <f aca="false">IF(OR(E966="",F966=""),"",F966*IFERROR(INDEX(Товары!$C$4:$C$200,MATCH(E966,Товары!$B$4:$B$200,0)),0))</f>
        <v/>
      </c>
      <c r="M966" s="32" t="str">
        <f aca="false">IF(I966="","",I966-L966)</f>
        <v/>
      </c>
      <c r="N966" s="28"/>
      <c r="O966" s="28"/>
      <c r="P966" s="28"/>
      <c r="Q966" s="28"/>
      <c r="R966" s="35"/>
      <c r="S966" s="28"/>
    </row>
    <row r="967" customFormat="false" ht="15" hidden="false" customHeight="false" outlineLevel="0" collapsed="false">
      <c r="A967" s="34" t="str">
        <f aca="false">IF(E967="","",ROW()-3)</f>
        <v/>
      </c>
      <c r="B967" s="35"/>
      <c r="C967" s="28"/>
      <c r="D967" s="28"/>
      <c r="E967" s="28"/>
      <c r="F967" s="28"/>
      <c r="G967" s="32" t="str">
        <f aca="false">IF(E967="","",IFERROR(INDEX(Товары!$D$4:$D$200,MATCH(E967,Товары!$B$4:$B$200,0)),0))</f>
        <v/>
      </c>
      <c r="H967" s="29"/>
      <c r="I967" s="32" t="str">
        <f aca="false">IF(OR(E967="",F967=""),"",F967*G967-N(H967))</f>
        <v/>
      </c>
      <c r="J967" s="29"/>
      <c r="K967" s="32" t="str">
        <f aca="false">IF(AND(I967="",N(J967)=0),"",N(I967)+N(J967))</f>
        <v/>
      </c>
      <c r="L967" s="32" t="str">
        <f aca="false">IF(OR(E967="",F967=""),"",F967*IFERROR(INDEX(Товары!$C$4:$C$200,MATCH(E967,Товары!$B$4:$B$200,0)),0))</f>
        <v/>
      </c>
      <c r="M967" s="32" t="str">
        <f aca="false">IF(I967="","",I967-L967)</f>
        <v/>
      </c>
      <c r="N967" s="28"/>
      <c r="O967" s="28"/>
      <c r="P967" s="28"/>
      <c r="Q967" s="28"/>
      <c r="R967" s="35"/>
      <c r="S967" s="28"/>
    </row>
    <row r="968" customFormat="false" ht="15" hidden="false" customHeight="false" outlineLevel="0" collapsed="false">
      <c r="A968" s="34" t="str">
        <f aca="false">IF(E968="","",ROW()-3)</f>
        <v/>
      </c>
      <c r="B968" s="35"/>
      <c r="C968" s="28"/>
      <c r="D968" s="28"/>
      <c r="E968" s="28"/>
      <c r="F968" s="28"/>
      <c r="G968" s="32" t="str">
        <f aca="false">IF(E968="","",IFERROR(INDEX(Товары!$D$4:$D$200,MATCH(E968,Товары!$B$4:$B$200,0)),0))</f>
        <v/>
      </c>
      <c r="H968" s="29"/>
      <c r="I968" s="32" t="str">
        <f aca="false">IF(OR(E968="",F968=""),"",F968*G968-N(H968))</f>
        <v/>
      </c>
      <c r="J968" s="29"/>
      <c r="K968" s="32" t="str">
        <f aca="false">IF(AND(I968="",N(J968)=0),"",N(I968)+N(J968))</f>
        <v/>
      </c>
      <c r="L968" s="32" t="str">
        <f aca="false">IF(OR(E968="",F968=""),"",F968*IFERROR(INDEX(Товары!$C$4:$C$200,MATCH(E968,Товары!$B$4:$B$200,0)),0))</f>
        <v/>
      </c>
      <c r="M968" s="32" t="str">
        <f aca="false">IF(I968="","",I968-L968)</f>
        <v/>
      </c>
      <c r="N968" s="28"/>
      <c r="O968" s="28"/>
      <c r="P968" s="28"/>
      <c r="Q968" s="28"/>
      <c r="R968" s="35"/>
      <c r="S968" s="28"/>
    </row>
    <row r="969" customFormat="false" ht="15" hidden="false" customHeight="false" outlineLevel="0" collapsed="false">
      <c r="A969" s="34" t="str">
        <f aca="false">IF(E969="","",ROW()-3)</f>
        <v/>
      </c>
      <c r="B969" s="35"/>
      <c r="C969" s="28"/>
      <c r="D969" s="28"/>
      <c r="E969" s="28"/>
      <c r="F969" s="28"/>
      <c r="G969" s="32" t="str">
        <f aca="false">IF(E969="","",IFERROR(INDEX(Товары!$D$4:$D$200,MATCH(E969,Товары!$B$4:$B$200,0)),0))</f>
        <v/>
      </c>
      <c r="H969" s="29"/>
      <c r="I969" s="32" t="str">
        <f aca="false">IF(OR(E969="",F969=""),"",F969*G969-N(H969))</f>
        <v/>
      </c>
      <c r="J969" s="29"/>
      <c r="K969" s="32" t="str">
        <f aca="false">IF(AND(I969="",N(J969)=0),"",N(I969)+N(J969))</f>
        <v/>
      </c>
      <c r="L969" s="32" t="str">
        <f aca="false">IF(OR(E969="",F969=""),"",F969*IFERROR(INDEX(Товары!$C$4:$C$200,MATCH(E969,Товары!$B$4:$B$200,0)),0))</f>
        <v/>
      </c>
      <c r="M969" s="32" t="str">
        <f aca="false">IF(I969="","",I969-L969)</f>
        <v/>
      </c>
      <c r="N969" s="28"/>
      <c r="O969" s="28"/>
      <c r="P969" s="28"/>
      <c r="Q969" s="28"/>
      <c r="R969" s="35"/>
      <c r="S969" s="28"/>
    </row>
    <row r="970" customFormat="false" ht="15" hidden="false" customHeight="false" outlineLevel="0" collapsed="false">
      <c r="A970" s="34" t="str">
        <f aca="false">IF(E970="","",ROW()-3)</f>
        <v/>
      </c>
      <c r="B970" s="35"/>
      <c r="C970" s="28"/>
      <c r="D970" s="28"/>
      <c r="E970" s="28"/>
      <c r="F970" s="28"/>
      <c r="G970" s="32" t="str">
        <f aca="false">IF(E970="","",IFERROR(INDEX(Товары!$D$4:$D$200,MATCH(E970,Товары!$B$4:$B$200,0)),0))</f>
        <v/>
      </c>
      <c r="H970" s="29"/>
      <c r="I970" s="32" t="str">
        <f aca="false">IF(OR(E970="",F970=""),"",F970*G970-N(H970))</f>
        <v/>
      </c>
      <c r="J970" s="29"/>
      <c r="K970" s="32" t="str">
        <f aca="false">IF(AND(I970="",N(J970)=0),"",N(I970)+N(J970))</f>
        <v/>
      </c>
      <c r="L970" s="32" t="str">
        <f aca="false">IF(OR(E970="",F970=""),"",F970*IFERROR(INDEX(Товары!$C$4:$C$200,MATCH(E970,Товары!$B$4:$B$200,0)),0))</f>
        <v/>
      </c>
      <c r="M970" s="32" t="str">
        <f aca="false">IF(I970="","",I970-L970)</f>
        <v/>
      </c>
      <c r="N970" s="28"/>
      <c r="O970" s="28"/>
      <c r="P970" s="28"/>
      <c r="Q970" s="28"/>
      <c r="R970" s="35"/>
      <c r="S970" s="28"/>
    </row>
    <row r="971" customFormat="false" ht="15" hidden="false" customHeight="false" outlineLevel="0" collapsed="false">
      <c r="A971" s="34" t="str">
        <f aca="false">IF(E971="","",ROW()-3)</f>
        <v/>
      </c>
      <c r="B971" s="35"/>
      <c r="C971" s="28"/>
      <c r="D971" s="28"/>
      <c r="E971" s="28"/>
      <c r="F971" s="28"/>
      <c r="G971" s="32" t="str">
        <f aca="false">IF(E971="","",IFERROR(INDEX(Товары!$D$4:$D$200,MATCH(E971,Товары!$B$4:$B$200,0)),0))</f>
        <v/>
      </c>
      <c r="H971" s="29"/>
      <c r="I971" s="32" t="str">
        <f aca="false">IF(OR(E971="",F971=""),"",F971*G971-N(H971))</f>
        <v/>
      </c>
      <c r="J971" s="29"/>
      <c r="K971" s="32" t="str">
        <f aca="false">IF(AND(I971="",N(J971)=0),"",N(I971)+N(J971))</f>
        <v/>
      </c>
      <c r="L971" s="32" t="str">
        <f aca="false">IF(OR(E971="",F971=""),"",F971*IFERROR(INDEX(Товары!$C$4:$C$200,MATCH(E971,Товары!$B$4:$B$200,0)),0))</f>
        <v/>
      </c>
      <c r="M971" s="32" t="str">
        <f aca="false">IF(I971="","",I971-L971)</f>
        <v/>
      </c>
      <c r="N971" s="28"/>
      <c r="O971" s="28"/>
      <c r="P971" s="28"/>
      <c r="Q971" s="28"/>
      <c r="R971" s="35"/>
      <c r="S971" s="28"/>
    </row>
    <row r="972" customFormat="false" ht="15" hidden="false" customHeight="false" outlineLevel="0" collapsed="false">
      <c r="A972" s="34" t="str">
        <f aca="false">IF(E972="","",ROW()-3)</f>
        <v/>
      </c>
      <c r="B972" s="35"/>
      <c r="C972" s="28"/>
      <c r="D972" s="28"/>
      <c r="E972" s="28"/>
      <c r="F972" s="28"/>
      <c r="G972" s="32" t="str">
        <f aca="false">IF(E972="","",IFERROR(INDEX(Товары!$D$4:$D$200,MATCH(E972,Товары!$B$4:$B$200,0)),0))</f>
        <v/>
      </c>
      <c r="H972" s="29"/>
      <c r="I972" s="32" t="str">
        <f aca="false">IF(OR(E972="",F972=""),"",F972*G972-N(H972))</f>
        <v/>
      </c>
      <c r="J972" s="29"/>
      <c r="K972" s="32" t="str">
        <f aca="false">IF(AND(I972="",N(J972)=0),"",N(I972)+N(J972))</f>
        <v/>
      </c>
      <c r="L972" s="32" t="str">
        <f aca="false">IF(OR(E972="",F972=""),"",F972*IFERROR(INDEX(Товары!$C$4:$C$200,MATCH(E972,Товары!$B$4:$B$200,0)),0))</f>
        <v/>
      </c>
      <c r="M972" s="32" t="str">
        <f aca="false">IF(I972="","",I972-L972)</f>
        <v/>
      </c>
      <c r="N972" s="28"/>
      <c r="O972" s="28"/>
      <c r="P972" s="28"/>
      <c r="Q972" s="28"/>
      <c r="R972" s="35"/>
      <c r="S972" s="28"/>
    </row>
    <row r="973" customFormat="false" ht="15" hidden="false" customHeight="false" outlineLevel="0" collapsed="false">
      <c r="A973" s="34" t="str">
        <f aca="false">IF(E973="","",ROW()-3)</f>
        <v/>
      </c>
      <c r="B973" s="35"/>
      <c r="C973" s="28"/>
      <c r="D973" s="28"/>
      <c r="E973" s="28"/>
      <c r="F973" s="28"/>
      <c r="G973" s="32" t="str">
        <f aca="false">IF(E973="","",IFERROR(INDEX(Товары!$D$4:$D$200,MATCH(E973,Товары!$B$4:$B$200,0)),0))</f>
        <v/>
      </c>
      <c r="H973" s="29"/>
      <c r="I973" s="32" t="str">
        <f aca="false">IF(OR(E973="",F973=""),"",F973*G973-N(H973))</f>
        <v/>
      </c>
      <c r="J973" s="29"/>
      <c r="K973" s="32" t="str">
        <f aca="false">IF(AND(I973="",N(J973)=0),"",N(I973)+N(J973))</f>
        <v/>
      </c>
      <c r="L973" s="32" t="str">
        <f aca="false">IF(OR(E973="",F973=""),"",F973*IFERROR(INDEX(Товары!$C$4:$C$200,MATCH(E973,Товары!$B$4:$B$200,0)),0))</f>
        <v/>
      </c>
      <c r="M973" s="32" t="str">
        <f aca="false">IF(I973="","",I973-L973)</f>
        <v/>
      </c>
      <c r="N973" s="28"/>
      <c r="O973" s="28"/>
      <c r="P973" s="28"/>
      <c r="Q973" s="28"/>
      <c r="R973" s="35"/>
      <c r="S973" s="28"/>
    </row>
    <row r="974" customFormat="false" ht="15" hidden="false" customHeight="false" outlineLevel="0" collapsed="false">
      <c r="A974" s="34" t="str">
        <f aca="false">IF(E974="","",ROW()-3)</f>
        <v/>
      </c>
      <c r="B974" s="35"/>
      <c r="C974" s="28"/>
      <c r="D974" s="28"/>
      <c r="E974" s="28"/>
      <c r="F974" s="28"/>
      <c r="G974" s="32" t="str">
        <f aca="false">IF(E974="","",IFERROR(INDEX(Товары!$D$4:$D$200,MATCH(E974,Товары!$B$4:$B$200,0)),0))</f>
        <v/>
      </c>
      <c r="H974" s="29"/>
      <c r="I974" s="32" t="str">
        <f aca="false">IF(OR(E974="",F974=""),"",F974*G974-N(H974))</f>
        <v/>
      </c>
      <c r="J974" s="29"/>
      <c r="K974" s="32" t="str">
        <f aca="false">IF(AND(I974="",N(J974)=0),"",N(I974)+N(J974))</f>
        <v/>
      </c>
      <c r="L974" s="32" t="str">
        <f aca="false">IF(OR(E974="",F974=""),"",F974*IFERROR(INDEX(Товары!$C$4:$C$200,MATCH(E974,Товары!$B$4:$B$200,0)),0))</f>
        <v/>
      </c>
      <c r="M974" s="32" t="str">
        <f aca="false">IF(I974="","",I974-L974)</f>
        <v/>
      </c>
      <c r="N974" s="28"/>
      <c r="O974" s="28"/>
      <c r="P974" s="28"/>
      <c r="Q974" s="28"/>
      <c r="R974" s="35"/>
      <c r="S974" s="28"/>
    </row>
    <row r="975" customFormat="false" ht="15" hidden="false" customHeight="false" outlineLevel="0" collapsed="false">
      <c r="A975" s="34" t="str">
        <f aca="false">IF(E975="","",ROW()-3)</f>
        <v/>
      </c>
      <c r="B975" s="35"/>
      <c r="C975" s="28"/>
      <c r="D975" s="28"/>
      <c r="E975" s="28"/>
      <c r="F975" s="28"/>
      <c r="G975" s="32" t="str">
        <f aca="false">IF(E975="","",IFERROR(INDEX(Товары!$D$4:$D$200,MATCH(E975,Товары!$B$4:$B$200,0)),0))</f>
        <v/>
      </c>
      <c r="H975" s="29"/>
      <c r="I975" s="32" t="str">
        <f aca="false">IF(OR(E975="",F975=""),"",F975*G975-N(H975))</f>
        <v/>
      </c>
      <c r="J975" s="29"/>
      <c r="K975" s="32" t="str">
        <f aca="false">IF(AND(I975="",N(J975)=0),"",N(I975)+N(J975))</f>
        <v/>
      </c>
      <c r="L975" s="32" t="str">
        <f aca="false">IF(OR(E975="",F975=""),"",F975*IFERROR(INDEX(Товары!$C$4:$C$200,MATCH(E975,Товары!$B$4:$B$200,0)),0))</f>
        <v/>
      </c>
      <c r="M975" s="32" t="str">
        <f aca="false">IF(I975="","",I975-L975)</f>
        <v/>
      </c>
      <c r="N975" s="28"/>
      <c r="O975" s="28"/>
      <c r="P975" s="28"/>
      <c r="Q975" s="28"/>
      <c r="R975" s="35"/>
      <c r="S975" s="28"/>
    </row>
    <row r="976" customFormat="false" ht="15" hidden="false" customHeight="false" outlineLevel="0" collapsed="false">
      <c r="A976" s="34" t="str">
        <f aca="false">IF(E976="","",ROW()-3)</f>
        <v/>
      </c>
      <c r="B976" s="35"/>
      <c r="C976" s="28"/>
      <c r="D976" s="28"/>
      <c r="E976" s="28"/>
      <c r="F976" s="28"/>
      <c r="G976" s="32" t="str">
        <f aca="false">IF(E976="","",IFERROR(INDEX(Товары!$D$4:$D$200,MATCH(E976,Товары!$B$4:$B$200,0)),0))</f>
        <v/>
      </c>
      <c r="H976" s="29"/>
      <c r="I976" s="32" t="str">
        <f aca="false">IF(OR(E976="",F976=""),"",F976*G976-N(H976))</f>
        <v/>
      </c>
      <c r="J976" s="29"/>
      <c r="K976" s="32" t="str">
        <f aca="false">IF(AND(I976="",N(J976)=0),"",N(I976)+N(J976))</f>
        <v/>
      </c>
      <c r="L976" s="32" t="str">
        <f aca="false">IF(OR(E976="",F976=""),"",F976*IFERROR(INDEX(Товары!$C$4:$C$200,MATCH(E976,Товары!$B$4:$B$200,0)),0))</f>
        <v/>
      </c>
      <c r="M976" s="32" t="str">
        <f aca="false">IF(I976="","",I976-L976)</f>
        <v/>
      </c>
      <c r="N976" s="28"/>
      <c r="O976" s="28"/>
      <c r="P976" s="28"/>
      <c r="Q976" s="28"/>
      <c r="R976" s="35"/>
      <c r="S976" s="28"/>
    </row>
    <row r="977" customFormat="false" ht="15" hidden="false" customHeight="false" outlineLevel="0" collapsed="false">
      <c r="A977" s="34" t="str">
        <f aca="false">IF(E977="","",ROW()-3)</f>
        <v/>
      </c>
      <c r="B977" s="35"/>
      <c r="C977" s="28"/>
      <c r="D977" s="28"/>
      <c r="E977" s="28"/>
      <c r="F977" s="28"/>
      <c r="G977" s="32" t="str">
        <f aca="false">IF(E977="","",IFERROR(INDEX(Товары!$D$4:$D$200,MATCH(E977,Товары!$B$4:$B$200,0)),0))</f>
        <v/>
      </c>
      <c r="H977" s="29"/>
      <c r="I977" s="32" t="str">
        <f aca="false">IF(OR(E977="",F977=""),"",F977*G977-N(H977))</f>
        <v/>
      </c>
      <c r="J977" s="29"/>
      <c r="K977" s="32" t="str">
        <f aca="false">IF(AND(I977="",N(J977)=0),"",N(I977)+N(J977))</f>
        <v/>
      </c>
      <c r="L977" s="32" t="str">
        <f aca="false">IF(OR(E977="",F977=""),"",F977*IFERROR(INDEX(Товары!$C$4:$C$200,MATCH(E977,Товары!$B$4:$B$200,0)),0))</f>
        <v/>
      </c>
      <c r="M977" s="32" t="str">
        <f aca="false">IF(I977="","",I977-L977)</f>
        <v/>
      </c>
      <c r="N977" s="28"/>
      <c r="O977" s="28"/>
      <c r="P977" s="28"/>
      <c r="Q977" s="28"/>
      <c r="R977" s="35"/>
      <c r="S977" s="28"/>
    </row>
    <row r="978" customFormat="false" ht="15" hidden="false" customHeight="false" outlineLevel="0" collapsed="false">
      <c r="A978" s="34" t="str">
        <f aca="false">IF(E978="","",ROW()-3)</f>
        <v/>
      </c>
      <c r="B978" s="35"/>
      <c r="C978" s="28"/>
      <c r="D978" s="28"/>
      <c r="E978" s="28"/>
      <c r="F978" s="28"/>
      <c r="G978" s="32" t="str">
        <f aca="false">IF(E978="","",IFERROR(INDEX(Товары!$D$4:$D$200,MATCH(E978,Товары!$B$4:$B$200,0)),0))</f>
        <v/>
      </c>
      <c r="H978" s="29"/>
      <c r="I978" s="32" t="str">
        <f aca="false">IF(OR(E978="",F978=""),"",F978*G978-N(H978))</f>
        <v/>
      </c>
      <c r="J978" s="29"/>
      <c r="K978" s="32" t="str">
        <f aca="false">IF(AND(I978="",N(J978)=0),"",N(I978)+N(J978))</f>
        <v/>
      </c>
      <c r="L978" s="32" t="str">
        <f aca="false">IF(OR(E978="",F978=""),"",F978*IFERROR(INDEX(Товары!$C$4:$C$200,MATCH(E978,Товары!$B$4:$B$200,0)),0))</f>
        <v/>
      </c>
      <c r="M978" s="32" t="str">
        <f aca="false">IF(I978="","",I978-L978)</f>
        <v/>
      </c>
      <c r="N978" s="28"/>
      <c r="O978" s="28"/>
      <c r="P978" s="28"/>
      <c r="Q978" s="28"/>
      <c r="R978" s="35"/>
      <c r="S978" s="28"/>
    </row>
    <row r="979" customFormat="false" ht="15" hidden="false" customHeight="false" outlineLevel="0" collapsed="false">
      <c r="A979" s="34" t="str">
        <f aca="false">IF(E979="","",ROW()-3)</f>
        <v/>
      </c>
      <c r="B979" s="35"/>
      <c r="C979" s="28"/>
      <c r="D979" s="28"/>
      <c r="E979" s="28"/>
      <c r="F979" s="28"/>
      <c r="G979" s="32" t="str">
        <f aca="false">IF(E979="","",IFERROR(INDEX(Товары!$D$4:$D$200,MATCH(E979,Товары!$B$4:$B$200,0)),0))</f>
        <v/>
      </c>
      <c r="H979" s="29"/>
      <c r="I979" s="32" t="str">
        <f aca="false">IF(OR(E979="",F979=""),"",F979*G979-N(H979))</f>
        <v/>
      </c>
      <c r="J979" s="29"/>
      <c r="K979" s="32" t="str">
        <f aca="false">IF(AND(I979="",N(J979)=0),"",N(I979)+N(J979))</f>
        <v/>
      </c>
      <c r="L979" s="32" t="str">
        <f aca="false">IF(OR(E979="",F979=""),"",F979*IFERROR(INDEX(Товары!$C$4:$C$200,MATCH(E979,Товары!$B$4:$B$200,0)),0))</f>
        <v/>
      </c>
      <c r="M979" s="32" t="str">
        <f aca="false">IF(I979="","",I979-L979)</f>
        <v/>
      </c>
      <c r="N979" s="28"/>
      <c r="O979" s="28"/>
      <c r="P979" s="28"/>
      <c r="Q979" s="28"/>
      <c r="R979" s="35"/>
      <c r="S979" s="28"/>
    </row>
    <row r="980" customFormat="false" ht="15" hidden="false" customHeight="false" outlineLevel="0" collapsed="false">
      <c r="A980" s="34" t="str">
        <f aca="false">IF(E980="","",ROW()-3)</f>
        <v/>
      </c>
      <c r="B980" s="35"/>
      <c r="C980" s="28"/>
      <c r="D980" s="28"/>
      <c r="E980" s="28"/>
      <c r="F980" s="28"/>
      <c r="G980" s="32" t="str">
        <f aca="false">IF(E980="","",IFERROR(INDEX(Товары!$D$4:$D$200,MATCH(E980,Товары!$B$4:$B$200,0)),0))</f>
        <v/>
      </c>
      <c r="H980" s="29"/>
      <c r="I980" s="32" t="str">
        <f aca="false">IF(OR(E980="",F980=""),"",F980*G980-N(H980))</f>
        <v/>
      </c>
      <c r="J980" s="29"/>
      <c r="K980" s="32" t="str">
        <f aca="false">IF(AND(I980="",N(J980)=0),"",N(I980)+N(J980))</f>
        <v/>
      </c>
      <c r="L980" s="32" t="str">
        <f aca="false">IF(OR(E980="",F980=""),"",F980*IFERROR(INDEX(Товары!$C$4:$C$200,MATCH(E980,Товары!$B$4:$B$200,0)),0))</f>
        <v/>
      </c>
      <c r="M980" s="32" t="str">
        <f aca="false">IF(I980="","",I980-L980)</f>
        <v/>
      </c>
      <c r="N980" s="28"/>
      <c r="O980" s="28"/>
      <c r="P980" s="28"/>
      <c r="Q980" s="28"/>
      <c r="R980" s="35"/>
      <c r="S980" s="28"/>
    </row>
    <row r="981" customFormat="false" ht="15" hidden="false" customHeight="false" outlineLevel="0" collapsed="false">
      <c r="A981" s="34" t="str">
        <f aca="false">IF(E981="","",ROW()-3)</f>
        <v/>
      </c>
      <c r="B981" s="35"/>
      <c r="C981" s="28"/>
      <c r="D981" s="28"/>
      <c r="E981" s="28"/>
      <c r="F981" s="28"/>
      <c r="G981" s="32" t="str">
        <f aca="false">IF(E981="","",IFERROR(INDEX(Товары!$D$4:$D$200,MATCH(E981,Товары!$B$4:$B$200,0)),0))</f>
        <v/>
      </c>
      <c r="H981" s="29"/>
      <c r="I981" s="32" t="str">
        <f aca="false">IF(OR(E981="",F981=""),"",F981*G981-N(H981))</f>
        <v/>
      </c>
      <c r="J981" s="29"/>
      <c r="K981" s="32" t="str">
        <f aca="false">IF(AND(I981="",N(J981)=0),"",N(I981)+N(J981))</f>
        <v/>
      </c>
      <c r="L981" s="32" t="str">
        <f aca="false">IF(OR(E981="",F981=""),"",F981*IFERROR(INDEX(Товары!$C$4:$C$200,MATCH(E981,Товары!$B$4:$B$200,0)),0))</f>
        <v/>
      </c>
      <c r="M981" s="32" t="str">
        <f aca="false">IF(I981="","",I981-L981)</f>
        <v/>
      </c>
      <c r="N981" s="28"/>
      <c r="O981" s="28"/>
      <c r="P981" s="28"/>
      <c r="Q981" s="28"/>
      <c r="R981" s="35"/>
      <c r="S981" s="28"/>
    </row>
    <row r="982" customFormat="false" ht="15" hidden="false" customHeight="false" outlineLevel="0" collapsed="false">
      <c r="A982" s="34" t="str">
        <f aca="false">IF(E982="","",ROW()-3)</f>
        <v/>
      </c>
      <c r="B982" s="35"/>
      <c r="C982" s="28"/>
      <c r="D982" s="28"/>
      <c r="E982" s="28"/>
      <c r="F982" s="28"/>
      <c r="G982" s="32" t="str">
        <f aca="false">IF(E982="","",IFERROR(INDEX(Товары!$D$4:$D$200,MATCH(E982,Товары!$B$4:$B$200,0)),0))</f>
        <v/>
      </c>
      <c r="H982" s="29"/>
      <c r="I982" s="32" t="str">
        <f aca="false">IF(OR(E982="",F982=""),"",F982*G982-N(H982))</f>
        <v/>
      </c>
      <c r="J982" s="29"/>
      <c r="K982" s="32" t="str">
        <f aca="false">IF(AND(I982="",N(J982)=0),"",N(I982)+N(J982))</f>
        <v/>
      </c>
      <c r="L982" s="32" t="str">
        <f aca="false">IF(OR(E982="",F982=""),"",F982*IFERROR(INDEX(Товары!$C$4:$C$200,MATCH(E982,Товары!$B$4:$B$200,0)),0))</f>
        <v/>
      </c>
      <c r="M982" s="32" t="str">
        <f aca="false">IF(I982="","",I982-L982)</f>
        <v/>
      </c>
      <c r="N982" s="28"/>
      <c r="O982" s="28"/>
      <c r="P982" s="28"/>
      <c r="Q982" s="28"/>
      <c r="R982" s="35"/>
      <c r="S982" s="28"/>
    </row>
    <row r="983" customFormat="false" ht="15" hidden="false" customHeight="false" outlineLevel="0" collapsed="false">
      <c r="A983" s="34" t="str">
        <f aca="false">IF(E983="","",ROW()-3)</f>
        <v/>
      </c>
      <c r="B983" s="35"/>
      <c r="C983" s="28"/>
      <c r="D983" s="28"/>
      <c r="E983" s="28"/>
      <c r="F983" s="28"/>
      <c r="G983" s="32" t="str">
        <f aca="false">IF(E983="","",IFERROR(INDEX(Товары!$D$4:$D$200,MATCH(E983,Товары!$B$4:$B$200,0)),0))</f>
        <v/>
      </c>
      <c r="H983" s="29"/>
      <c r="I983" s="32" t="str">
        <f aca="false">IF(OR(E983="",F983=""),"",F983*G983-N(H983))</f>
        <v/>
      </c>
      <c r="J983" s="29"/>
      <c r="K983" s="32" t="str">
        <f aca="false">IF(AND(I983="",N(J983)=0),"",N(I983)+N(J983))</f>
        <v/>
      </c>
      <c r="L983" s="32" t="str">
        <f aca="false">IF(OR(E983="",F983=""),"",F983*IFERROR(INDEX(Товары!$C$4:$C$200,MATCH(E983,Товары!$B$4:$B$200,0)),0))</f>
        <v/>
      </c>
      <c r="M983" s="32" t="str">
        <f aca="false">IF(I983="","",I983-L983)</f>
        <v/>
      </c>
      <c r="N983" s="28"/>
      <c r="O983" s="28"/>
      <c r="P983" s="28"/>
      <c r="Q983" s="28"/>
      <c r="R983" s="35"/>
      <c r="S983" s="28"/>
    </row>
    <row r="984" customFormat="false" ht="15" hidden="false" customHeight="false" outlineLevel="0" collapsed="false">
      <c r="A984" s="34" t="str">
        <f aca="false">IF(E984="","",ROW()-3)</f>
        <v/>
      </c>
      <c r="B984" s="35"/>
      <c r="C984" s="28"/>
      <c r="D984" s="28"/>
      <c r="E984" s="28"/>
      <c r="F984" s="28"/>
      <c r="G984" s="32" t="str">
        <f aca="false">IF(E984="","",IFERROR(INDEX(Товары!$D$4:$D$200,MATCH(E984,Товары!$B$4:$B$200,0)),0))</f>
        <v/>
      </c>
      <c r="H984" s="29"/>
      <c r="I984" s="32" t="str">
        <f aca="false">IF(OR(E984="",F984=""),"",F984*G984-N(H984))</f>
        <v/>
      </c>
      <c r="J984" s="29"/>
      <c r="K984" s="32" t="str">
        <f aca="false">IF(AND(I984="",N(J984)=0),"",N(I984)+N(J984))</f>
        <v/>
      </c>
      <c r="L984" s="32" t="str">
        <f aca="false">IF(OR(E984="",F984=""),"",F984*IFERROR(INDEX(Товары!$C$4:$C$200,MATCH(E984,Товары!$B$4:$B$200,0)),0))</f>
        <v/>
      </c>
      <c r="M984" s="32" t="str">
        <f aca="false">IF(I984="","",I984-L984)</f>
        <v/>
      </c>
      <c r="N984" s="28"/>
      <c r="O984" s="28"/>
      <c r="P984" s="28"/>
      <c r="Q984" s="28"/>
      <c r="R984" s="35"/>
      <c r="S984" s="28"/>
    </row>
    <row r="985" customFormat="false" ht="15" hidden="false" customHeight="false" outlineLevel="0" collapsed="false">
      <c r="A985" s="34" t="str">
        <f aca="false">IF(E985="","",ROW()-3)</f>
        <v/>
      </c>
      <c r="B985" s="35"/>
      <c r="C985" s="28"/>
      <c r="D985" s="28"/>
      <c r="E985" s="28"/>
      <c r="F985" s="28"/>
      <c r="G985" s="32" t="str">
        <f aca="false">IF(E985="","",IFERROR(INDEX(Товары!$D$4:$D$200,MATCH(E985,Товары!$B$4:$B$200,0)),0))</f>
        <v/>
      </c>
      <c r="H985" s="29"/>
      <c r="I985" s="32" t="str">
        <f aca="false">IF(OR(E985="",F985=""),"",F985*G985-N(H985))</f>
        <v/>
      </c>
      <c r="J985" s="29"/>
      <c r="K985" s="32" t="str">
        <f aca="false">IF(AND(I985="",N(J985)=0),"",N(I985)+N(J985))</f>
        <v/>
      </c>
      <c r="L985" s="32" t="str">
        <f aca="false">IF(OR(E985="",F985=""),"",F985*IFERROR(INDEX(Товары!$C$4:$C$200,MATCH(E985,Товары!$B$4:$B$200,0)),0))</f>
        <v/>
      </c>
      <c r="M985" s="32" t="str">
        <f aca="false">IF(I985="","",I985-L985)</f>
        <v/>
      </c>
      <c r="N985" s="28"/>
      <c r="O985" s="28"/>
      <c r="P985" s="28"/>
      <c r="Q985" s="28"/>
      <c r="R985" s="35"/>
      <c r="S985" s="28"/>
    </row>
    <row r="986" customFormat="false" ht="15" hidden="false" customHeight="false" outlineLevel="0" collapsed="false">
      <c r="A986" s="34" t="str">
        <f aca="false">IF(E986="","",ROW()-3)</f>
        <v/>
      </c>
      <c r="B986" s="35"/>
      <c r="C986" s="28"/>
      <c r="D986" s="28"/>
      <c r="E986" s="28"/>
      <c r="F986" s="28"/>
      <c r="G986" s="32" t="str">
        <f aca="false">IF(E986="","",IFERROR(INDEX(Товары!$D$4:$D$200,MATCH(E986,Товары!$B$4:$B$200,0)),0))</f>
        <v/>
      </c>
      <c r="H986" s="29"/>
      <c r="I986" s="32" t="str">
        <f aca="false">IF(OR(E986="",F986=""),"",F986*G986-N(H986))</f>
        <v/>
      </c>
      <c r="J986" s="29"/>
      <c r="K986" s="32" t="str">
        <f aca="false">IF(AND(I986="",N(J986)=0),"",N(I986)+N(J986))</f>
        <v/>
      </c>
      <c r="L986" s="32" t="str">
        <f aca="false">IF(OR(E986="",F986=""),"",F986*IFERROR(INDEX(Товары!$C$4:$C$200,MATCH(E986,Товары!$B$4:$B$200,0)),0))</f>
        <v/>
      </c>
      <c r="M986" s="32" t="str">
        <f aca="false">IF(I986="","",I986-L986)</f>
        <v/>
      </c>
      <c r="N986" s="28"/>
      <c r="O986" s="28"/>
      <c r="P986" s="28"/>
      <c r="Q986" s="28"/>
      <c r="R986" s="35"/>
      <c r="S986" s="28"/>
    </row>
    <row r="987" customFormat="false" ht="15" hidden="false" customHeight="false" outlineLevel="0" collapsed="false">
      <c r="A987" s="34" t="str">
        <f aca="false">IF(E987="","",ROW()-3)</f>
        <v/>
      </c>
      <c r="B987" s="35"/>
      <c r="C987" s="28"/>
      <c r="D987" s="28"/>
      <c r="E987" s="28"/>
      <c r="F987" s="28"/>
      <c r="G987" s="32" t="str">
        <f aca="false">IF(E987="","",IFERROR(INDEX(Товары!$D$4:$D$200,MATCH(E987,Товары!$B$4:$B$200,0)),0))</f>
        <v/>
      </c>
      <c r="H987" s="29"/>
      <c r="I987" s="32" t="str">
        <f aca="false">IF(OR(E987="",F987=""),"",F987*G987-N(H987))</f>
        <v/>
      </c>
      <c r="J987" s="29"/>
      <c r="K987" s="32" t="str">
        <f aca="false">IF(AND(I987="",N(J987)=0),"",N(I987)+N(J987))</f>
        <v/>
      </c>
      <c r="L987" s="32" t="str">
        <f aca="false">IF(OR(E987="",F987=""),"",F987*IFERROR(INDEX(Товары!$C$4:$C$200,MATCH(E987,Товары!$B$4:$B$200,0)),0))</f>
        <v/>
      </c>
      <c r="M987" s="32" t="str">
        <f aca="false">IF(I987="","",I987-L987)</f>
        <v/>
      </c>
      <c r="N987" s="28"/>
      <c r="O987" s="28"/>
      <c r="P987" s="28"/>
      <c r="Q987" s="28"/>
      <c r="R987" s="35"/>
      <c r="S987" s="28"/>
    </row>
    <row r="988" customFormat="false" ht="15" hidden="false" customHeight="false" outlineLevel="0" collapsed="false">
      <c r="A988" s="34" t="str">
        <f aca="false">IF(E988="","",ROW()-3)</f>
        <v/>
      </c>
      <c r="B988" s="35"/>
      <c r="C988" s="28"/>
      <c r="D988" s="28"/>
      <c r="E988" s="28"/>
      <c r="F988" s="28"/>
      <c r="G988" s="32" t="str">
        <f aca="false">IF(E988="","",IFERROR(INDEX(Товары!$D$4:$D$200,MATCH(E988,Товары!$B$4:$B$200,0)),0))</f>
        <v/>
      </c>
      <c r="H988" s="29"/>
      <c r="I988" s="32" t="str">
        <f aca="false">IF(OR(E988="",F988=""),"",F988*G988-N(H988))</f>
        <v/>
      </c>
      <c r="J988" s="29"/>
      <c r="K988" s="32" t="str">
        <f aca="false">IF(AND(I988="",N(J988)=0),"",N(I988)+N(J988))</f>
        <v/>
      </c>
      <c r="L988" s="32" t="str">
        <f aca="false">IF(OR(E988="",F988=""),"",F988*IFERROR(INDEX(Товары!$C$4:$C$200,MATCH(E988,Товары!$B$4:$B$200,0)),0))</f>
        <v/>
      </c>
      <c r="M988" s="32" t="str">
        <f aca="false">IF(I988="","",I988-L988)</f>
        <v/>
      </c>
      <c r="N988" s="28"/>
      <c r="O988" s="28"/>
      <c r="P988" s="28"/>
      <c r="Q988" s="28"/>
      <c r="R988" s="35"/>
      <c r="S988" s="28"/>
    </row>
    <row r="989" customFormat="false" ht="15" hidden="false" customHeight="false" outlineLevel="0" collapsed="false">
      <c r="A989" s="34" t="str">
        <f aca="false">IF(E989="","",ROW()-3)</f>
        <v/>
      </c>
      <c r="B989" s="35"/>
      <c r="C989" s="28"/>
      <c r="D989" s="28"/>
      <c r="E989" s="28"/>
      <c r="F989" s="28"/>
      <c r="G989" s="32" t="str">
        <f aca="false">IF(E989="","",IFERROR(INDEX(Товары!$D$4:$D$200,MATCH(E989,Товары!$B$4:$B$200,0)),0))</f>
        <v/>
      </c>
      <c r="H989" s="29"/>
      <c r="I989" s="32" t="str">
        <f aca="false">IF(OR(E989="",F989=""),"",F989*G989-N(H989))</f>
        <v/>
      </c>
      <c r="J989" s="29"/>
      <c r="K989" s="32" t="str">
        <f aca="false">IF(AND(I989="",N(J989)=0),"",N(I989)+N(J989))</f>
        <v/>
      </c>
      <c r="L989" s="32" t="str">
        <f aca="false">IF(OR(E989="",F989=""),"",F989*IFERROR(INDEX(Товары!$C$4:$C$200,MATCH(E989,Товары!$B$4:$B$200,0)),0))</f>
        <v/>
      </c>
      <c r="M989" s="32" t="str">
        <f aca="false">IF(I989="","",I989-L989)</f>
        <v/>
      </c>
      <c r="N989" s="28"/>
      <c r="O989" s="28"/>
      <c r="P989" s="28"/>
      <c r="Q989" s="28"/>
      <c r="R989" s="35"/>
      <c r="S989" s="28"/>
    </row>
    <row r="990" customFormat="false" ht="15" hidden="false" customHeight="false" outlineLevel="0" collapsed="false">
      <c r="A990" s="34" t="str">
        <f aca="false">IF(E990="","",ROW()-3)</f>
        <v/>
      </c>
      <c r="B990" s="35"/>
      <c r="C990" s="28"/>
      <c r="D990" s="28"/>
      <c r="E990" s="28"/>
      <c r="F990" s="28"/>
      <c r="G990" s="32" t="str">
        <f aca="false">IF(E990="","",IFERROR(INDEX(Товары!$D$4:$D$200,MATCH(E990,Товары!$B$4:$B$200,0)),0))</f>
        <v/>
      </c>
      <c r="H990" s="29"/>
      <c r="I990" s="32" t="str">
        <f aca="false">IF(OR(E990="",F990=""),"",F990*G990-N(H990))</f>
        <v/>
      </c>
      <c r="J990" s="29"/>
      <c r="K990" s="32" t="str">
        <f aca="false">IF(AND(I990="",N(J990)=0),"",N(I990)+N(J990))</f>
        <v/>
      </c>
      <c r="L990" s="32" t="str">
        <f aca="false">IF(OR(E990="",F990=""),"",F990*IFERROR(INDEX(Товары!$C$4:$C$200,MATCH(E990,Товары!$B$4:$B$200,0)),0))</f>
        <v/>
      </c>
      <c r="M990" s="32" t="str">
        <f aca="false">IF(I990="","",I990-L990)</f>
        <v/>
      </c>
      <c r="N990" s="28"/>
      <c r="O990" s="28"/>
      <c r="P990" s="28"/>
      <c r="Q990" s="28"/>
      <c r="R990" s="35"/>
      <c r="S990" s="28"/>
    </row>
    <row r="991" customFormat="false" ht="15" hidden="false" customHeight="false" outlineLevel="0" collapsed="false">
      <c r="A991" s="34" t="str">
        <f aca="false">IF(E991="","",ROW()-3)</f>
        <v/>
      </c>
      <c r="B991" s="35"/>
      <c r="C991" s="28"/>
      <c r="D991" s="28"/>
      <c r="E991" s="28"/>
      <c r="F991" s="28"/>
      <c r="G991" s="32" t="str">
        <f aca="false">IF(E991="","",IFERROR(INDEX(Товары!$D$4:$D$200,MATCH(E991,Товары!$B$4:$B$200,0)),0))</f>
        <v/>
      </c>
      <c r="H991" s="29"/>
      <c r="I991" s="32" t="str">
        <f aca="false">IF(OR(E991="",F991=""),"",F991*G991-N(H991))</f>
        <v/>
      </c>
      <c r="J991" s="29"/>
      <c r="K991" s="32" t="str">
        <f aca="false">IF(AND(I991="",N(J991)=0),"",N(I991)+N(J991))</f>
        <v/>
      </c>
      <c r="L991" s="32" t="str">
        <f aca="false">IF(OR(E991="",F991=""),"",F991*IFERROR(INDEX(Товары!$C$4:$C$200,MATCH(E991,Товары!$B$4:$B$200,0)),0))</f>
        <v/>
      </c>
      <c r="M991" s="32" t="str">
        <f aca="false">IF(I991="","",I991-L991)</f>
        <v/>
      </c>
      <c r="N991" s="28"/>
      <c r="O991" s="28"/>
      <c r="P991" s="28"/>
      <c r="Q991" s="28"/>
      <c r="R991" s="35"/>
      <c r="S991" s="28"/>
    </row>
    <row r="992" customFormat="false" ht="15" hidden="false" customHeight="false" outlineLevel="0" collapsed="false">
      <c r="A992" s="34" t="str">
        <f aca="false">IF(E992="","",ROW()-3)</f>
        <v/>
      </c>
      <c r="B992" s="35"/>
      <c r="C992" s="28"/>
      <c r="D992" s="28"/>
      <c r="E992" s="28"/>
      <c r="F992" s="28"/>
      <c r="G992" s="32" t="str">
        <f aca="false">IF(E992="","",IFERROR(INDEX(Товары!$D$4:$D$200,MATCH(E992,Товары!$B$4:$B$200,0)),0))</f>
        <v/>
      </c>
      <c r="H992" s="29"/>
      <c r="I992" s="32" t="str">
        <f aca="false">IF(OR(E992="",F992=""),"",F992*G992-N(H992))</f>
        <v/>
      </c>
      <c r="J992" s="29"/>
      <c r="K992" s="32" t="str">
        <f aca="false">IF(AND(I992="",N(J992)=0),"",N(I992)+N(J992))</f>
        <v/>
      </c>
      <c r="L992" s="32" t="str">
        <f aca="false">IF(OR(E992="",F992=""),"",F992*IFERROR(INDEX(Товары!$C$4:$C$200,MATCH(E992,Товары!$B$4:$B$200,0)),0))</f>
        <v/>
      </c>
      <c r="M992" s="32" t="str">
        <f aca="false">IF(I992="","",I992-L992)</f>
        <v/>
      </c>
      <c r="N992" s="28"/>
      <c r="O992" s="28"/>
      <c r="P992" s="28"/>
      <c r="Q992" s="28"/>
      <c r="R992" s="35"/>
      <c r="S992" s="28"/>
    </row>
    <row r="993" customFormat="false" ht="15" hidden="false" customHeight="false" outlineLevel="0" collapsed="false">
      <c r="A993" s="34" t="str">
        <f aca="false">IF(E993="","",ROW()-3)</f>
        <v/>
      </c>
      <c r="B993" s="35"/>
      <c r="C993" s="28"/>
      <c r="D993" s="28"/>
      <c r="E993" s="28"/>
      <c r="F993" s="28"/>
      <c r="G993" s="32" t="str">
        <f aca="false">IF(E993="","",IFERROR(INDEX(Товары!$D$4:$D$200,MATCH(E993,Товары!$B$4:$B$200,0)),0))</f>
        <v/>
      </c>
      <c r="H993" s="29"/>
      <c r="I993" s="32" t="str">
        <f aca="false">IF(OR(E993="",F993=""),"",F993*G993-N(H993))</f>
        <v/>
      </c>
      <c r="J993" s="29"/>
      <c r="K993" s="32" t="str">
        <f aca="false">IF(AND(I993="",N(J993)=0),"",N(I993)+N(J993))</f>
        <v/>
      </c>
      <c r="L993" s="32" t="str">
        <f aca="false">IF(OR(E993="",F993=""),"",F993*IFERROR(INDEX(Товары!$C$4:$C$200,MATCH(E993,Товары!$B$4:$B$200,0)),0))</f>
        <v/>
      </c>
      <c r="M993" s="32" t="str">
        <f aca="false">IF(I993="","",I993-L993)</f>
        <v/>
      </c>
      <c r="N993" s="28"/>
      <c r="O993" s="28"/>
      <c r="P993" s="28"/>
      <c r="Q993" s="28"/>
      <c r="R993" s="35"/>
      <c r="S993" s="28"/>
    </row>
    <row r="994" customFormat="false" ht="15" hidden="false" customHeight="false" outlineLevel="0" collapsed="false">
      <c r="A994" s="34" t="str">
        <f aca="false">IF(E994="","",ROW()-3)</f>
        <v/>
      </c>
      <c r="B994" s="35"/>
      <c r="C994" s="28"/>
      <c r="D994" s="28"/>
      <c r="E994" s="28"/>
      <c r="F994" s="28"/>
      <c r="G994" s="32" t="str">
        <f aca="false">IF(E994="","",IFERROR(INDEX(Товары!$D$4:$D$200,MATCH(E994,Товары!$B$4:$B$200,0)),0))</f>
        <v/>
      </c>
      <c r="H994" s="29"/>
      <c r="I994" s="32" t="str">
        <f aca="false">IF(OR(E994="",F994=""),"",F994*G994-N(H994))</f>
        <v/>
      </c>
      <c r="J994" s="29"/>
      <c r="K994" s="32" t="str">
        <f aca="false">IF(AND(I994="",N(J994)=0),"",N(I994)+N(J994))</f>
        <v/>
      </c>
      <c r="L994" s="32" t="str">
        <f aca="false">IF(OR(E994="",F994=""),"",F994*IFERROR(INDEX(Товары!$C$4:$C$200,MATCH(E994,Товары!$B$4:$B$200,0)),0))</f>
        <v/>
      </c>
      <c r="M994" s="32" t="str">
        <f aca="false">IF(I994="","",I994-L994)</f>
        <v/>
      </c>
      <c r="N994" s="28"/>
      <c r="O994" s="28"/>
      <c r="P994" s="28"/>
      <c r="Q994" s="28"/>
      <c r="R994" s="35"/>
      <c r="S994" s="28"/>
    </row>
    <row r="995" customFormat="false" ht="15" hidden="false" customHeight="false" outlineLevel="0" collapsed="false">
      <c r="A995" s="34" t="str">
        <f aca="false">IF(E995="","",ROW()-3)</f>
        <v/>
      </c>
      <c r="B995" s="35"/>
      <c r="C995" s="28"/>
      <c r="D995" s="28"/>
      <c r="E995" s="28"/>
      <c r="F995" s="28"/>
      <c r="G995" s="32" t="str">
        <f aca="false">IF(E995="","",IFERROR(INDEX(Товары!$D$4:$D$200,MATCH(E995,Товары!$B$4:$B$200,0)),0))</f>
        <v/>
      </c>
      <c r="H995" s="29"/>
      <c r="I995" s="32" t="str">
        <f aca="false">IF(OR(E995="",F995=""),"",F995*G995-N(H995))</f>
        <v/>
      </c>
      <c r="J995" s="29"/>
      <c r="K995" s="32" t="str">
        <f aca="false">IF(AND(I995="",N(J995)=0),"",N(I995)+N(J995))</f>
        <v/>
      </c>
      <c r="L995" s="32" t="str">
        <f aca="false">IF(OR(E995="",F995=""),"",F995*IFERROR(INDEX(Товары!$C$4:$C$200,MATCH(E995,Товары!$B$4:$B$200,0)),0))</f>
        <v/>
      </c>
      <c r="M995" s="32" t="str">
        <f aca="false">IF(I995="","",I995-L995)</f>
        <v/>
      </c>
      <c r="N995" s="28"/>
      <c r="O995" s="28"/>
      <c r="P995" s="28"/>
      <c r="Q995" s="28"/>
      <c r="R995" s="35"/>
      <c r="S995" s="28"/>
    </row>
    <row r="996" customFormat="false" ht="15" hidden="false" customHeight="false" outlineLevel="0" collapsed="false">
      <c r="A996" s="34" t="str">
        <f aca="false">IF(E996="","",ROW()-3)</f>
        <v/>
      </c>
      <c r="B996" s="35"/>
      <c r="C996" s="28"/>
      <c r="D996" s="28"/>
      <c r="E996" s="28"/>
      <c r="F996" s="28"/>
      <c r="G996" s="32" t="str">
        <f aca="false">IF(E996="","",IFERROR(INDEX(Товары!$D$4:$D$200,MATCH(E996,Товары!$B$4:$B$200,0)),0))</f>
        <v/>
      </c>
      <c r="H996" s="29"/>
      <c r="I996" s="32" t="str">
        <f aca="false">IF(OR(E996="",F996=""),"",F996*G996-N(H996))</f>
        <v/>
      </c>
      <c r="J996" s="29"/>
      <c r="K996" s="32" t="str">
        <f aca="false">IF(AND(I996="",N(J996)=0),"",N(I996)+N(J996))</f>
        <v/>
      </c>
      <c r="L996" s="32" t="str">
        <f aca="false">IF(OR(E996="",F996=""),"",F996*IFERROR(INDEX(Товары!$C$4:$C$200,MATCH(E996,Товары!$B$4:$B$200,0)),0))</f>
        <v/>
      </c>
      <c r="M996" s="32" t="str">
        <f aca="false">IF(I996="","",I996-L996)</f>
        <v/>
      </c>
      <c r="N996" s="28"/>
      <c r="O996" s="28"/>
      <c r="P996" s="28"/>
      <c r="Q996" s="28"/>
      <c r="R996" s="35"/>
      <c r="S996" s="28"/>
    </row>
    <row r="997" customFormat="false" ht="15" hidden="false" customHeight="false" outlineLevel="0" collapsed="false">
      <c r="A997" s="34" t="str">
        <f aca="false">IF(E997="","",ROW()-3)</f>
        <v/>
      </c>
      <c r="B997" s="35"/>
      <c r="C997" s="28"/>
      <c r="D997" s="28"/>
      <c r="E997" s="28"/>
      <c r="F997" s="28"/>
      <c r="G997" s="32" t="str">
        <f aca="false">IF(E997="","",IFERROR(INDEX(Товары!$D$4:$D$200,MATCH(E997,Товары!$B$4:$B$200,0)),0))</f>
        <v/>
      </c>
      <c r="H997" s="29"/>
      <c r="I997" s="32" t="str">
        <f aca="false">IF(OR(E997="",F997=""),"",F997*G997-N(H997))</f>
        <v/>
      </c>
      <c r="J997" s="29"/>
      <c r="K997" s="32" t="str">
        <f aca="false">IF(AND(I997="",N(J997)=0),"",N(I997)+N(J997))</f>
        <v/>
      </c>
      <c r="L997" s="32" t="str">
        <f aca="false">IF(OR(E997="",F997=""),"",F997*IFERROR(INDEX(Товары!$C$4:$C$200,MATCH(E997,Товары!$B$4:$B$200,0)),0))</f>
        <v/>
      </c>
      <c r="M997" s="32" t="str">
        <f aca="false">IF(I997="","",I997-L997)</f>
        <v/>
      </c>
      <c r="N997" s="28"/>
      <c r="O997" s="28"/>
      <c r="P997" s="28"/>
      <c r="Q997" s="28"/>
      <c r="R997" s="35"/>
      <c r="S997" s="28"/>
    </row>
    <row r="998" customFormat="false" ht="15" hidden="false" customHeight="false" outlineLevel="0" collapsed="false">
      <c r="A998" s="34" t="str">
        <f aca="false">IF(E998="","",ROW()-3)</f>
        <v/>
      </c>
      <c r="B998" s="35"/>
      <c r="C998" s="28"/>
      <c r="D998" s="28"/>
      <c r="E998" s="28"/>
      <c r="F998" s="28"/>
      <c r="G998" s="32" t="str">
        <f aca="false">IF(E998="","",IFERROR(INDEX(Товары!$D$4:$D$200,MATCH(E998,Товары!$B$4:$B$200,0)),0))</f>
        <v/>
      </c>
      <c r="H998" s="29"/>
      <c r="I998" s="32" t="str">
        <f aca="false">IF(OR(E998="",F998=""),"",F998*G998-N(H998))</f>
        <v/>
      </c>
      <c r="J998" s="29"/>
      <c r="K998" s="32" t="str">
        <f aca="false">IF(AND(I998="",N(J998)=0),"",N(I998)+N(J998))</f>
        <v/>
      </c>
      <c r="L998" s="32" t="str">
        <f aca="false">IF(OR(E998="",F998=""),"",F998*IFERROR(INDEX(Товары!$C$4:$C$200,MATCH(E998,Товары!$B$4:$B$200,0)),0))</f>
        <v/>
      </c>
      <c r="M998" s="32" t="str">
        <f aca="false">IF(I998="","",I998-L998)</f>
        <v/>
      </c>
      <c r="N998" s="28"/>
      <c r="O998" s="28"/>
      <c r="P998" s="28"/>
      <c r="Q998" s="28"/>
      <c r="R998" s="35"/>
      <c r="S998" s="28"/>
    </row>
    <row r="999" customFormat="false" ht="15" hidden="false" customHeight="false" outlineLevel="0" collapsed="false">
      <c r="A999" s="34" t="str">
        <f aca="false">IF(E999="","",ROW()-3)</f>
        <v/>
      </c>
      <c r="B999" s="35"/>
      <c r="C999" s="28"/>
      <c r="D999" s="28"/>
      <c r="E999" s="28"/>
      <c r="F999" s="28"/>
      <c r="G999" s="32" t="str">
        <f aca="false">IF(E999="","",IFERROR(INDEX(Товары!$D$4:$D$200,MATCH(E999,Товары!$B$4:$B$200,0)),0))</f>
        <v/>
      </c>
      <c r="H999" s="29"/>
      <c r="I999" s="32" t="str">
        <f aca="false">IF(OR(E999="",F999=""),"",F999*G999-N(H999))</f>
        <v/>
      </c>
      <c r="J999" s="29"/>
      <c r="K999" s="32" t="str">
        <f aca="false">IF(AND(I999="",N(J999)=0),"",N(I999)+N(J999))</f>
        <v/>
      </c>
      <c r="L999" s="32" t="str">
        <f aca="false">IF(OR(E999="",F999=""),"",F999*IFERROR(INDEX(Товары!$C$4:$C$200,MATCH(E999,Товары!$B$4:$B$200,0)),0))</f>
        <v/>
      </c>
      <c r="M999" s="32" t="str">
        <f aca="false">IF(I999="","",I999-L999)</f>
        <v/>
      </c>
      <c r="N999" s="28"/>
      <c r="O999" s="28"/>
      <c r="P999" s="28"/>
      <c r="Q999" s="28"/>
      <c r="R999" s="35"/>
      <c r="S999" s="28"/>
    </row>
    <row r="1000" customFormat="false" ht="15" hidden="false" customHeight="false" outlineLevel="0" collapsed="false">
      <c r="A1000" s="34" t="str">
        <f aca="false">IF(E1000="","",ROW()-3)</f>
        <v/>
      </c>
      <c r="B1000" s="35"/>
      <c r="C1000" s="28"/>
      <c r="D1000" s="28"/>
      <c r="E1000" s="28"/>
      <c r="F1000" s="28"/>
      <c r="G1000" s="32" t="str">
        <f aca="false">IF(E1000="","",IFERROR(INDEX(Товары!$D$4:$D$200,MATCH(E1000,Товары!$B$4:$B$200,0)),0))</f>
        <v/>
      </c>
      <c r="H1000" s="29"/>
      <c r="I1000" s="32" t="str">
        <f aca="false">IF(OR(E1000="",F1000=""),"",F1000*G1000-N(H1000))</f>
        <v/>
      </c>
      <c r="J1000" s="29"/>
      <c r="K1000" s="32" t="str">
        <f aca="false">IF(AND(I1000="",N(J1000)=0),"",N(I1000)+N(J1000))</f>
        <v/>
      </c>
      <c r="L1000" s="32" t="str">
        <f aca="false">IF(OR(E1000="",F1000=""),"",F1000*IFERROR(INDEX(Товары!$C$4:$C$200,MATCH(E1000,Товары!$B$4:$B$200,0)),0))</f>
        <v/>
      </c>
      <c r="M1000" s="32" t="str">
        <f aca="false">IF(I1000="","",I1000-L1000)</f>
        <v/>
      </c>
      <c r="N1000" s="28"/>
      <c r="O1000" s="28"/>
      <c r="P1000" s="28"/>
      <c r="Q1000" s="28"/>
      <c r="R1000" s="35"/>
      <c r="S1000" s="28"/>
    </row>
    <row r="1001" customFormat="false" ht="15" hidden="false" customHeight="false" outlineLevel="0" collapsed="false">
      <c r="A1001" s="34" t="str">
        <f aca="false">IF(E1001="","",ROW()-3)</f>
        <v/>
      </c>
      <c r="B1001" s="35"/>
      <c r="C1001" s="28"/>
      <c r="D1001" s="28"/>
      <c r="E1001" s="28"/>
      <c r="F1001" s="28"/>
      <c r="G1001" s="32" t="str">
        <f aca="false">IF(E1001="","",IFERROR(INDEX(Товары!$D$4:$D$200,MATCH(E1001,Товары!$B$4:$B$200,0)),0))</f>
        <v/>
      </c>
      <c r="H1001" s="29"/>
      <c r="I1001" s="32" t="str">
        <f aca="false">IF(OR(E1001="",F1001=""),"",F1001*G1001-N(H1001))</f>
        <v/>
      </c>
      <c r="J1001" s="29"/>
      <c r="K1001" s="32" t="str">
        <f aca="false">IF(AND(I1001="",N(J1001)=0),"",N(I1001)+N(J1001))</f>
        <v/>
      </c>
      <c r="L1001" s="32" t="str">
        <f aca="false">IF(OR(E1001="",F1001=""),"",F1001*IFERROR(INDEX(Товары!$C$4:$C$200,MATCH(E1001,Товары!$B$4:$B$200,0)),0))</f>
        <v/>
      </c>
      <c r="M1001" s="32" t="str">
        <f aca="false">IF(I1001="","",I1001-L1001)</f>
        <v/>
      </c>
      <c r="N1001" s="28"/>
      <c r="O1001" s="28"/>
      <c r="P1001" s="28"/>
      <c r="Q1001" s="28"/>
      <c r="R1001" s="35"/>
      <c r="S1001" s="28"/>
    </row>
    <row r="1002" customFormat="false" ht="15" hidden="false" customHeight="false" outlineLevel="0" collapsed="false">
      <c r="A1002" s="34" t="str">
        <f aca="false">IF(E1002="","",ROW()-3)</f>
        <v/>
      </c>
      <c r="B1002" s="35"/>
      <c r="C1002" s="28"/>
      <c r="D1002" s="28"/>
      <c r="E1002" s="28"/>
      <c r="F1002" s="28"/>
      <c r="G1002" s="32" t="str">
        <f aca="false">IF(E1002="","",IFERROR(INDEX(Товары!$D$4:$D$200,MATCH(E1002,Товары!$B$4:$B$200,0)),0))</f>
        <v/>
      </c>
      <c r="H1002" s="29"/>
      <c r="I1002" s="32" t="str">
        <f aca="false">IF(OR(E1002="",F1002=""),"",F1002*G1002-N(H1002))</f>
        <v/>
      </c>
      <c r="J1002" s="29"/>
      <c r="K1002" s="32" t="str">
        <f aca="false">IF(AND(I1002="",N(J1002)=0),"",N(I1002)+N(J1002))</f>
        <v/>
      </c>
      <c r="L1002" s="32" t="str">
        <f aca="false">IF(OR(E1002="",F1002=""),"",F1002*IFERROR(INDEX(Товары!$C$4:$C$200,MATCH(E1002,Товары!$B$4:$B$200,0)),0))</f>
        <v/>
      </c>
      <c r="M1002" s="32" t="str">
        <f aca="false">IF(I1002="","",I1002-L1002)</f>
        <v/>
      </c>
      <c r="N1002" s="28"/>
      <c r="O1002" s="28"/>
      <c r="P1002" s="28"/>
      <c r="Q1002" s="28"/>
      <c r="R1002" s="35"/>
      <c r="S1002" s="28"/>
    </row>
    <row r="1003" customFormat="false" ht="15" hidden="false" customHeight="false" outlineLevel="0" collapsed="false">
      <c r="A1003" s="34" t="str">
        <f aca="false">IF(E1003="","",ROW()-3)</f>
        <v/>
      </c>
      <c r="B1003" s="35"/>
      <c r="C1003" s="28"/>
      <c r="D1003" s="28"/>
      <c r="E1003" s="28"/>
      <c r="F1003" s="28"/>
      <c r="G1003" s="32" t="str">
        <f aca="false">IF(E1003="","",IFERROR(INDEX(Товары!$D$4:$D$200,MATCH(E1003,Товары!$B$4:$B$200,0)),0))</f>
        <v/>
      </c>
      <c r="H1003" s="29"/>
      <c r="I1003" s="32" t="str">
        <f aca="false">IF(OR(E1003="",F1003=""),"",F1003*G1003-N(H1003))</f>
        <v/>
      </c>
      <c r="J1003" s="29"/>
      <c r="K1003" s="32" t="str">
        <f aca="false">IF(AND(I1003="",N(J1003)=0),"",N(I1003)+N(J1003))</f>
        <v/>
      </c>
      <c r="L1003" s="32" t="str">
        <f aca="false">IF(OR(E1003="",F1003=""),"",F1003*IFERROR(INDEX(Товары!$C$4:$C$200,MATCH(E1003,Товары!$B$4:$B$200,0)),0))</f>
        <v/>
      </c>
      <c r="M1003" s="32" t="str">
        <f aca="false">IF(I1003="","",I1003-L1003)</f>
        <v/>
      </c>
      <c r="N1003" s="28"/>
      <c r="O1003" s="28"/>
      <c r="P1003" s="28"/>
      <c r="Q1003" s="28"/>
      <c r="R1003" s="35"/>
      <c r="S1003" s="28"/>
    </row>
  </sheetData>
  <autoFilter ref="A3:S1003"/>
  <conditionalFormatting sqref="A4:S1003">
    <cfRule type="expression" priority="2" aboveAverage="0" equalAverage="0" bottom="0" percent="0" rank="0" text="" dxfId="11">
      <formula>$O4="Выполнен"</formula>
    </cfRule>
    <cfRule type="expression" priority="3" aboveAverage="0" equalAverage="0" bottom="0" percent="0" rank="0" text="" dxfId="12">
      <formula>$O4="Ожидает отправки"</formula>
    </cfRule>
    <cfRule type="expression" priority="4" aboveAverage="0" equalAverage="0" bottom="0" percent="0" rank="0" text="" dxfId="13">
      <formula>$O4="Отправлен (в пути)"</formula>
    </cfRule>
    <cfRule type="expression" priority="5" aboveAverage="0" equalAverage="0" bottom="0" percent="0" rank="0" text="" dxfId="14">
      <formula>$O4="Ожидает самовывоза"</formula>
    </cfRule>
    <cfRule type="expression" priority="6" aboveAverage="0" equalAverage="0" bottom="0" percent="0" rank="0" text="" dxfId="15">
      <formula>$O4="Отменён"</formula>
    </cfRule>
  </conditionalFormatting>
  <dataValidations count="4">
    <dataValidation allowBlank="true" error="Выберите товар из списка (добавить новый — на листе «Товары»)" errorStyle="stop" operator="between" showDropDown="false" showErrorMessage="true" showInputMessage="false" sqref="E4:E1003" type="list">
      <formula1>Товары!$B$4:$B$200</formula1>
      <formula2>0</formula2>
    </dataValidation>
    <dataValidation allowBlank="true" errorStyle="stop" operator="between" showDropDown="false" showErrorMessage="false" showInputMessage="false" sqref="N4:N1003" type="list">
      <formula1>"Самовывоз,СДЭК,Маршрутка,Курьер,Почта"</formula1>
      <formula2>0</formula2>
    </dataValidation>
    <dataValidation allowBlank="true" errorStyle="stop" operator="between" showDropDown="false" showErrorMessage="false" showInputMessage="false" sqref="O4:O1003" type="list">
      <formula1>"Выполнен,Ожидает отправки,Отправлен (в пути),Ожидает самовывоза,Отменён"</formula1>
      <formula2>0</formula2>
    </dataValidation>
    <dataValidation allowBlank="true" errorStyle="stop" operator="between" showDropDown="false" showErrorMessage="false" showInputMessage="false" sqref="P4:P1003" type="list">
      <formula1>"Оплачен,Предоплата,Не оплачен"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6" t="s">
        <v>151</v>
      </c>
    </row>
    <row r="2" customFormat="false" ht="15" hidden="false" customHeight="false" outlineLevel="0" collapsed="false">
      <c r="A2" s="37"/>
    </row>
    <row r="3" customFormat="false" ht="26.85" hidden="false" customHeight="false" outlineLevel="0" collapsed="false">
      <c r="A3" s="37" t="s">
        <v>152</v>
      </c>
    </row>
    <row r="4" customFormat="false" ht="26.85" hidden="false" customHeight="false" outlineLevel="0" collapsed="false">
      <c r="A4" s="37" t="s">
        <v>153</v>
      </c>
    </row>
    <row r="5" customFormat="false" ht="26.85" hidden="false" customHeight="false" outlineLevel="0" collapsed="false">
      <c r="A5" s="37" t="s">
        <v>154</v>
      </c>
    </row>
    <row r="6" customFormat="false" ht="15" hidden="false" customHeight="false" outlineLevel="0" collapsed="false">
      <c r="A6" s="37" t="s">
        <v>155</v>
      </c>
    </row>
    <row r="7" customFormat="false" ht="15" hidden="false" customHeight="false" outlineLevel="0" collapsed="false">
      <c r="A7" s="37" t="s">
        <v>156</v>
      </c>
    </row>
    <row r="8" customFormat="false" ht="15" hidden="false" customHeight="false" outlineLevel="0" collapsed="false">
      <c r="A8" s="37" t="s">
        <v>157</v>
      </c>
    </row>
    <row r="9" customFormat="false" ht="15" hidden="false" customHeight="false" outlineLevel="0" collapsed="false">
      <c r="A9" s="37" t="s">
        <v>158</v>
      </c>
    </row>
    <row r="10" customFormat="false" ht="15" hidden="false" customHeight="false" outlineLevel="0" collapsed="false">
      <c r="A10" s="37" t="s">
        <v>159</v>
      </c>
    </row>
    <row r="11" customFormat="false" ht="15" hidden="false" customHeight="false" outlineLevel="0" collapsed="false">
      <c r="A11" s="37" t="s">
        <v>160</v>
      </c>
    </row>
    <row r="12" customFormat="false" ht="15" hidden="false" customHeight="false" outlineLevel="0" collapsed="false">
      <c r="A12" s="37" t="s">
        <v>161</v>
      </c>
    </row>
    <row r="13" customFormat="false" ht="15" hidden="false" customHeight="false" outlineLevel="0" collapsed="false">
      <c r="A13" s="37" t="s">
        <v>162</v>
      </c>
    </row>
    <row r="14" customFormat="false" ht="15" hidden="false" customHeight="false" outlineLevel="0" collapsed="false">
      <c r="A14" s="37" t="s">
        <v>163</v>
      </c>
    </row>
    <row r="15" customFormat="false" ht="26.85" hidden="false" customHeight="false" outlineLevel="0" collapsed="false">
      <c r="A15" s="37" t="s">
        <v>164</v>
      </c>
    </row>
    <row r="16" customFormat="false" ht="15" hidden="false" customHeight="false" outlineLevel="0" collapsed="false">
      <c r="A16" s="37" t="s">
        <v>165</v>
      </c>
    </row>
    <row r="17" customFormat="false" ht="26.85" hidden="false" customHeight="false" outlineLevel="0" collapsed="false">
      <c r="A17" s="37" t="s">
        <v>166</v>
      </c>
    </row>
    <row r="18" customFormat="false" ht="15" hidden="false" customHeight="false" outlineLevel="0" collapsed="false">
      <c r="A18" s="37"/>
    </row>
    <row r="19" customFormat="false" ht="26.85" hidden="false" customHeight="false" outlineLevel="0" collapsed="false">
      <c r="A19" s="38" t="s">
        <v>167</v>
      </c>
    </row>
    <row r="20" customFormat="false" ht="26.85" hidden="false" customHeight="false" outlineLevel="0" collapsed="false">
      <c r="A20" s="37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2026-10-24T13:37:50Z</dcterms:created>
  <dc:creator>openpyxl</dc:creator>
  <dc:description/>
  <dc:language>en-US</dc:language>
  <cp:lastModifiedBy/>
  <dcterms:modified xsi:type="dcterms:W3CDTF">2026-10-24T13:37:51Z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